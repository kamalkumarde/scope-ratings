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mc:AlternateContent xmlns:mc="http://schemas.openxmlformats.org/markup-compatibility/2006">
    <mc:Choice Requires="x15">
      <x15ac:absPath xmlns:x15ac="http://schemas.microsoft.com/office/spreadsheetml/2010/11/ac" url="/Users/kamalkumar/projects/scope-ratings/datapush/"/>
    </mc:Choice>
  </mc:AlternateContent>
  <xr:revisionPtr revIDLastSave="0" documentId="8_{6E329668-B958-1246-870A-58E81A7B35AE}" xr6:coauthVersionLast="47" xr6:coauthVersionMax="47" xr10:uidLastSave="{00000000-0000-0000-0000-000000000000}"/>
  <bookViews>
    <workbookView xWindow="0" yWindow="600" windowWidth="38000" windowHeight="18800" activeTab="2" xr2:uid="{00000000-000D-0000-FFFF-FFFF00000000}"/>
  </bookViews>
  <sheets>
    <sheet name="BusinessRiskProfiles" sheetId="1" state="hidden" r:id="rId1"/>
    <sheet name="Settings" sheetId="3" state="hidden" r:id="rId2"/>
    <sheet name="MASTER" sheetId="4" r:id="rId3"/>
  </sheets>
  <functionGroups builtInGroupCount="19"/>
  <definedNames>
    <definedName name="_xleta.MAX" hidden="1" xlm="1">#NAME?</definedName>
    <definedName name="AccountingPrinciplesList">#REF!</definedName>
    <definedName name="CorporateSectorList">#REF!</definedName>
    <definedName name="CountryList">#REF!</definedName>
    <definedName name="CurrencyList">#REF!</definedName>
    <definedName name="DayList">#REF!</definedName>
    <definedName name="DiscretionaryCashFlowList">#REF!</definedName>
    <definedName name="FreeoperatingcashflowList">#REF!</definedName>
    <definedName name="FrequencyList">#REF!</definedName>
    <definedName name="HeadingsList">#REF!</definedName>
    <definedName name="IndustryWeightList">#REF!</definedName>
    <definedName name="IssuerIdList">#REF!</definedName>
    <definedName name="LiquidityList">#REF!</definedName>
    <definedName name="LTVList">#REF!</definedName>
    <definedName name="MASTERAddressList">#REF!</definedName>
    <definedName name="MASTERFirstColumnAddressList">#REF!</definedName>
    <definedName name="MASTERFirstColumnNameList">#REF!</definedName>
    <definedName name="MASTERHeaderList">#REF!</definedName>
    <definedName name="MASTERRangeNameList">#REF!</definedName>
    <definedName name="MASTERValidationList">#REF!</definedName>
    <definedName name="MethodologyList">#REF!</definedName>
    <definedName name="MonthList">#REF!</definedName>
    <definedName name="NotchingList">#REF!</definedName>
    <definedName name="OutlookList">#REF!</definedName>
    <definedName name="RatedEntityList">#REF!</definedName>
    <definedName name="RatingScaleList">#REF!</definedName>
    <definedName name="RecoveryExpectationsList">#REF!</definedName>
    <definedName name="ReportingUnitList">#REF!</definedName>
    <definedName name="ScopeadjusteddebtList">#REF!</definedName>
    <definedName name="ScopeadjustedEBITDAList">#REF!</definedName>
    <definedName name="ScopeadjustedFFOList">#REF!</definedName>
    <definedName name="ScopeadjustedinterestsList">#REF!</definedName>
    <definedName name="ScopeMetricsList">#REF!</definedName>
    <definedName name="SectorList">#REF!</definedName>
    <definedName name="SectorRiskScoreList">#REF!</definedName>
    <definedName name="SegmentationCriteriaList">#REF!</definedName>
    <definedName name="ShortTermDebtRatingCriteriaList">#REF!</definedName>
    <definedName name="ShortTermRatingsList">#REF!</definedName>
    <definedName name="StatusList">#REF!</definedName>
    <definedName name="TotalArray2List">#REF!</definedName>
    <definedName name="TotalArrayList">#REF!</definedName>
    <definedName name="YearList">#REF!</definedName>
  </definedNames>
  <calcPr calcId="18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252" i="1" l="1"/>
  <c r="A290" i="1" s="1"/>
  <c r="A195" i="1"/>
  <c r="A233" i="1" s="1"/>
  <c r="A271" i="1" s="1"/>
  <c r="A190" i="1"/>
  <c r="A228" i="1" s="1"/>
  <c r="A266" i="1" s="1"/>
  <c r="A177" i="1"/>
  <c r="A215" i="1" s="1"/>
  <c r="A253" i="1" s="1"/>
  <c r="A291" i="1" s="1"/>
  <c r="A176" i="1"/>
  <c r="A214" i="1" s="1"/>
  <c r="A171" i="1"/>
  <c r="A209" i="1" s="1"/>
  <c r="A247" i="1" s="1"/>
  <c r="A285" i="1" s="1"/>
  <c r="A167" i="1"/>
  <c r="A205" i="1" s="1"/>
  <c r="A243" i="1" s="1"/>
  <c r="A281" i="1" s="1"/>
  <c r="A166" i="1"/>
  <c r="A204" i="1" s="1"/>
  <c r="A242" i="1" s="1"/>
  <c r="A280" i="1" s="1"/>
  <c r="A165" i="1"/>
  <c r="A203" i="1" s="1"/>
  <c r="A241" i="1" s="1"/>
  <c r="A279" i="1" s="1"/>
  <c r="A161" i="1"/>
  <c r="A199" i="1" s="1"/>
  <c r="A237" i="1" s="1"/>
  <c r="A275" i="1" s="1"/>
  <c r="A159" i="1"/>
  <c r="A197" i="1" s="1"/>
  <c r="A235" i="1" s="1"/>
  <c r="A273" i="1" s="1"/>
  <c r="A156" i="1"/>
  <c r="A194" i="1" s="1"/>
  <c r="A232" i="1" s="1"/>
  <c r="A270" i="1" s="1"/>
  <c r="A154" i="1"/>
  <c r="A192" i="1" s="1"/>
  <c r="A230" i="1" s="1"/>
  <c r="A268" i="1" s="1"/>
  <c r="A145" i="1"/>
  <c r="A183" i="1" s="1"/>
  <c r="A221" i="1" s="1"/>
  <c r="A259" i="1" s="1"/>
  <c r="A134" i="1"/>
  <c r="D133" i="1"/>
  <c r="A133" i="1"/>
  <c r="A132" i="1"/>
  <c r="A175" i="1" s="1"/>
  <c r="A213" i="1" s="1"/>
  <c r="A251" i="1" s="1"/>
  <c r="A289" i="1" s="1"/>
  <c r="A131" i="1"/>
  <c r="A174" i="1" s="1"/>
  <c r="A212" i="1" s="1"/>
  <c r="A250" i="1" s="1"/>
  <c r="A288" i="1" s="1"/>
  <c r="A130" i="1"/>
  <c r="A173" i="1" s="1"/>
  <c r="A211" i="1" s="1"/>
  <c r="A249" i="1" s="1"/>
  <c r="A287" i="1" s="1"/>
  <c r="A129" i="1"/>
  <c r="A172" i="1" s="1"/>
  <c r="A210" i="1" s="1"/>
  <c r="A248" i="1" s="1"/>
  <c r="A286" i="1" s="1"/>
  <c r="A128" i="1"/>
  <c r="A127" i="1"/>
  <c r="A170" i="1" s="1"/>
  <c r="A208" i="1" s="1"/>
  <c r="A246" i="1" s="1"/>
  <c r="A284" i="1" s="1"/>
  <c r="A126" i="1"/>
  <c r="A169" i="1" s="1"/>
  <c r="A207" i="1" s="1"/>
  <c r="A245" i="1" s="1"/>
  <c r="A283" i="1" s="1"/>
  <c r="A125" i="1"/>
  <c r="A168" i="1" s="1"/>
  <c r="A206" i="1" s="1"/>
  <c r="A244" i="1" s="1"/>
  <c r="A282" i="1" s="1"/>
  <c r="A124" i="1"/>
  <c r="A123" i="1"/>
  <c r="A122" i="1"/>
  <c r="A121" i="1"/>
  <c r="A164" i="1" s="1"/>
  <c r="A202" i="1" s="1"/>
  <c r="A240" i="1" s="1"/>
  <c r="A278" i="1" s="1"/>
  <c r="A120" i="1"/>
  <c r="A163" i="1" s="1"/>
  <c r="A201" i="1" s="1"/>
  <c r="A239" i="1" s="1"/>
  <c r="A277" i="1" s="1"/>
  <c r="A119" i="1"/>
  <c r="A162" i="1" s="1"/>
  <c r="A200" i="1" s="1"/>
  <c r="A238" i="1" s="1"/>
  <c r="A276" i="1" s="1"/>
  <c r="D118" i="1"/>
  <c r="A118" i="1"/>
  <c r="A117" i="1"/>
  <c r="A160" i="1" s="1"/>
  <c r="A198" i="1" s="1"/>
  <c r="A236" i="1" s="1"/>
  <c r="A274" i="1" s="1"/>
  <c r="A116" i="1"/>
  <c r="A115" i="1"/>
  <c r="A158" i="1" s="1"/>
  <c r="A196" i="1" s="1"/>
  <c r="A234" i="1" s="1"/>
  <c r="A272" i="1" s="1"/>
  <c r="A114" i="1"/>
  <c r="A157" i="1" s="1"/>
  <c r="A113" i="1"/>
  <c r="A112" i="1"/>
  <c r="A155" i="1" s="1"/>
  <c r="A193" i="1" s="1"/>
  <c r="A231" i="1" s="1"/>
  <c r="A269" i="1" s="1"/>
  <c r="A111" i="1"/>
  <c r="A110" i="1"/>
  <c r="A153" i="1" s="1"/>
  <c r="A191" i="1" s="1"/>
  <c r="A229" i="1" s="1"/>
  <c r="A267" i="1" s="1"/>
  <c r="A109" i="1"/>
  <c r="A152" i="1" s="1"/>
  <c r="A108" i="1"/>
  <c r="A151" i="1" s="1"/>
  <c r="A189" i="1" s="1"/>
  <c r="A227" i="1" s="1"/>
  <c r="A265" i="1" s="1"/>
  <c r="A107" i="1"/>
  <c r="A150" i="1" s="1"/>
  <c r="A188" i="1" s="1"/>
  <c r="A226" i="1" s="1"/>
  <c r="A264" i="1" s="1"/>
  <c r="A106" i="1"/>
  <c r="A149" i="1" s="1"/>
  <c r="A187" i="1" s="1"/>
  <c r="A225" i="1" s="1"/>
  <c r="A263" i="1" s="1"/>
  <c r="A105" i="1"/>
  <c r="A148" i="1" s="1"/>
  <c r="A186" i="1" s="1"/>
  <c r="A224" i="1" s="1"/>
  <c r="A262" i="1" s="1"/>
  <c r="A104" i="1"/>
  <c r="A147" i="1" s="1"/>
  <c r="A185" i="1" s="1"/>
  <c r="A223" i="1" s="1"/>
  <c r="A261" i="1" s="1"/>
  <c r="A103" i="1"/>
  <c r="A146" i="1" s="1"/>
  <c r="A184" i="1" s="1"/>
  <c r="A222" i="1" s="1"/>
  <c r="A260" i="1" s="1"/>
  <c r="A102" i="1"/>
  <c r="D101" i="1"/>
  <c r="A101" i="1"/>
  <c r="A144" i="1" s="1"/>
  <c r="A182" i="1" s="1"/>
  <c r="A220" i="1" s="1"/>
  <c r="A258" i="1" s="1"/>
  <c r="A100" i="1"/>
  <c r="A143" i="1" s="1"/>
  <c r="A181" i="1" s="1"/>
  <c r="A219" i="1" s="1"/>
  <c r="A257" i="1" s="1"/>
  <c r="K99" i="1"/>
  <c r="A90" i="1"/>
  <c r="A89" i="1"/>
  <c r="A88" i="1"/>
  <c r="A87" i="1"/>
  <c r="A86" i="1"/>
  <c r="A85" i="1"/>
  <c r="A84" i="1"/>
  <c r="A83" i="1"/>
  <c r="A82" i="1"/>
  <c r="A81" i="1"/>
  <c r="A80" i="1"/>
  <c r="D79" i="1"/>
  <c r="A79" i="1"/>
  <c r="D78" i="1"/>
  <c r="A78" i="1"/>
  <c r="A77" i="1"/>
  <c r="A76" i="1"/>
  <c r="A75" i="1"/>
  <c r="A74" i="1"/>
  <c r="D73" i="1"/>
  <c r="A73" i="1"/>
  <c r="A72" i="1"/>
  <c r="A71" i="1"/>
  <c r="A70" i="1"/>
  <c r="A69" i="1"/>
  <c r="A68" i="1"/>
  <c r="A67" i="1"/>
  <c r="A66" i="1"/>
  <c r="A65" i="1"/>
  <c r="D64" i="1"/>
  <c r="A64" i="1"/>
  <c r="A63" i="1"/>
  <c r="A62" i="1"/>
  <c r="A61" i="1"/>
  <c r="A60" i="1"/>
  <c r="A59" i="1"/>
  <c r="D58" i="1"/>
  <c r="A58" i="1"/>
  <c r="A57" i="1"/>
  <c r="A56" i="1"/>
  <c r="A46" i="1"/>
  <c r="A45" i="1"/>
  <c r="A44" i="1"/>
  <c r="A43" i="1"/>
  <c r="A42" i="1"/>
  <c r="D41" i="1"/>
  <c r="A41" i="1"/>
  <c r="A40" i="1"/>
  <c r="A39" i="1"/>
  <c r="A38" i="1"/>
  <c r="A37" i="1"/>
  <c r="A36" i="1"/>
  <c r="A35" i="1"/>
  <c r="D34" i="1"/>
  <c r="A34" i="1"/>
  <c r="A33" i="1"/>
  <c r="A32" i="1"/>
  <c r="A31" i="1"/>
  <c r="A30" i="1"/>
  <c r="D29" i="1"/>
  <c r="A29" i="1"/>
  <c r="A28" i="1"/>
  <c r="A27" i="1"/>
  <c r="A26" i="1"/>
  <c r="A25" i="1"/>
  <c r="A24" i="1"/>
  <c r="A23" i="1"/>
  <c r="A22" i="1"/>
  <c r="A21" i="1"/>
  <c r="A20" i="1"/>
  <c r="A19" i="1"/>
  <c r="A18" i="1"/>
  <c r="A17" i="1"/>
  <c r="A16" i="1"/>
  <c r="D15" i="1"/>
  <c r="A15" i="1"/>
  <c r="A14" i="1"/>
  <c r="A13" i="1"/>
  <c r="A12" i="1"/>
  <c r="J3" i="1"/>
  <c r="J4" i="1" s="1"/>
  <c r="J5" i="1" s="1"/>
  <c r="J6" i="1" s="1"/>
  <c r="J7" i="1" s="1"/>
  <c r="J8" i="1" s="1"/>
  <c r="J9" i="1" s="1"/>
  <c r="J10" i="1" s="1"/>
  <c r="J11" i="1" s="1"/>
  <c r="J12" i="1" s="1"/>
  <c r="J13" i="1" s="1"/>
  <c r="J14" i="1" s="1"/>
  <c r="J15" i="1" s="1"/>
  <c r="G2" i="1" a="1"/>
  <c r="G2" i="1" s="1"/>
  <c r="F2" i="1" a="1"/>
  <c r="F2" i="1" s="1"/>
  <c r="F27" i="1" s="1"/>
  <c r="E2" i="1" a="1"/>
  <c r="E2" i="1" s="1"/>
  <c r="D2" i="1" a="1"/>
  <c r="D2" i="1" s="1"/>
  <c r="D168" i="1" s="1"/>
  <c r="C2" i="1" a="1"/>
  <c r="C2" i="1" s="1"/>
  <c r="C232" i="1" s="1"/>
  <c r="B2" i="1" a="1"/>
  <c r="B2" i="1" s="1"/>
  <c r="G224" i="1" l="1"/>
  <c r="G31" i="1"/>
  <c r="G83" i="1"/>
  <c r="G42" i="1"/>
  <c r="G124" i="1"/>
  <c r="G66" i="1"/>
  <c r="G103" i="1"/>
  <c r="G150" i="1"/>
  <c r="G171" i="1"/>
  <c r="G12" i="1"/>
  <c r="G143" i="1"/>
  <c r="G75" i="1"/>
  <c r="G86" i="1"/>
  <c r="G59" i="1"/>
  <c r="G27" i="1"/>
  <c r="G16" i="1"/>
  <c r="D39" i="1"/>
  <c r="D45" i="1"/>
  <c r="D69" i="1"/>
  <c r="D36" i="1"/>
  <c r="D25" i="1"/>
  <c r="D74" i="1"/>
  <c r="D113" i="1"/>
  <c r="D26" i="1"/>
  <c r="D14" i="1"/>
  <c r="D116" i="1"/>
  <c r="D30" i="1"/>
  <c r="D128" i="1"/>
  <c r="D89" i="1"/>
  <c r="D121" i="1"/>
  <c r="D19" i="1"/>
  <c r="D21" i="1"/>
  <c r="D40" i="1"/>
  <c r="D132" i="1"/>
  <c r="C30" i="1"/>
  <c r="C78" i="1"/>
  <c r="C58" i="1"/>
  <c r="C14" i="1"/>
  <c r="C19" i="1"/>
  <c r="C25" i="1"/>
  <c r="C113" i="1"/>
  <c r="C67" i="1"/>
  <c r="C85" i="1"/>
  <c r="C35" i="1"/>
  <c r="C104" i="1"/>
  <c r="C62" i="1"/>
  <c r="C15" i="1"/>
  <c r="C57" i="1"/>
  <c r="C63" i="1"/>
  <c r="C74" i="1"/>
  <c r="C101" i="1"/>
  <c r="C116" i="1"/>
  <c r="C39" i="1"/>
  <c r="C24" i="1"/>
  <c r="C34" i="1"/>
  <c r="C45" i="1"/>
  <c r="C82" i="1"/>
  <c r="C132" i="1"/>
  <c r="C73" i="1"/>
  <c r="C69" i="1"/>
  <c r="C64" i="1"/>
  <c r="C89" i="1"/>
  <c r="J16" i="1"/>
  <c r="J17" i="1" s="1"/>
  <c r="J18" i="1" s="1"/>
  <c r="J19" i="1" s="1"/>
  <c r="B15" i="1"/>
  <c r="E287" i="1"/>
  <c r="E277" i="1"/>
  <c r="E267" i="1"/>
  <c r="E257" i="1"/>
  <c r="E244" i="1"/>
  <c r="E234" i="1"/>
  <c r="E224" i="1"/>
  <c r="E176" i="1"/>
  <c r="E171" i="1"/>
  <c r="E284" i="1"/>
  <c r="E274" i="1"/>
  <c r="E264" i="1"/>
  <c r="E251" i="1"/>
  <c r="E241" i="1"/>
  <c r="E231" i="1"/>
  <c r="E221" i="1"/>
  <c r="E214" i="1"/>
  <c r="E209" i="1"/>
  <c r="E204" i="1"/>
  <c r="E199" i="1"/>
  <c r="E194" i="1"/>
  <c r="E189" i="1"/>
  <c r="E184" i="1"/>
  <c r="E291" i="1"/>
  <c r="E282" i="1"/>
  <c r="E272" i="1"/>
  <c r="E262" i="1"/>
  <c r="E249" i="1"/>
  <c r="E239" i="1"/>
  <c r="E229" i="1"/>
  <c r="E219" i="1"/>
  <c r="E211" i="1"/>
  <c r="E206" i="1"/>
  <c r="E201" i="1"/>
  <c r="E290" i="1"/>
  <c r="E280" i="1"/>
  <c r="E270" i="1"/>
  <c r="E260" i="1"/>
  <c r="E247" i="1"/>
  <c r="E237" i="1"/>
  <c r="E227" i="1"/>
  <c r="E213" i="1"/>
  <c r="E208" i="1"/>
  <c r="E203" i="1"/>
  <c r="E279" i="1"/>
  <c r="E250" i="1"/>
  <c r="E245" i="1"/>
  <c r="E226" i="1"/>
  <c r="E195" i="1"/>
  <c r="E192" i="1"/>
  <c r="E181" i="1"/>
  <c r="E173" i="1"/>
  <c r="E286" i="1"/>
  <c r="E281" i="1"/>
  <c r="E252" i="1"/>
  <c r="E233" i="1"/>
  <c r="E228" i="1"/>
  <c r="E165" i="1"/>
  <c r="E160" i="1"/>
  <c r="E155" i="1"/>
  <c r="E150" i="1"/>
  <c r="E145" i="1"/>
  <c r="E288" i="1"/>
  <c r="E269" i="1"/>
  <c r="E240" i="1"/>
  <c r="E235" i="1"/>
  <c r="E205" i="1"/>
  <c r="E198" i="1"/>
  <c r="E190" i="1"/>
  <c r="E187" i="1"/>
  <c r="E170" i="1"/>
  <c r="E265" i="1"/>
  <c r="E243" i="1"/>
  <c r="E238" i="1"/>
  <c r="E212" i="1"/>
  <c r="E169" i="1"/>
  <c r="E273" i="1"/>
  <c r="E246" i="1"/>
  <c r="E230" i="1"/>
  <c r="E215" i="1"/>
  <c r="E196" i="1"/>
  <c r="E191" i="1"/>
  <c r="E186" i="1"/>
  <c r="E167" i="1"/>
  <c r="E144" i="1"/>
  <c r="E142" i="1"/>
  <c r="E125" i="1"/>
  <c r="E120" i="1"/>
  <c r="E115" i="1"/>
  <c r="E110" i="1"/>
  <c r="E285" i="1"/>
  <c r="E276" i="1"/>
  <c r="E222" i="1"/>
  <c r="E158" i="1"/>
  <c r="E156" i="1"/>
  <c r="E134" i="1"/>
  <c r="E268" i="1"/>
  <c r="E225" i="1"/>
  <c r="E193" i="1"/>
  <c r="E188" i="1"/>
  <c r="E185" i="1"/>
  <c r="E183" i="1"/>
  <c r="E180" i="1"/>
  <c r="E149" i="1"/>
  <c r="E147" i="1"/>
  <c r="E132" i="1"/>
  <c r="E129" i="1"/>
  <c r="E126" i="1"/>
  <c r="E121" i="1"/>
  <c r="E116" i="1"/>
  <c r="E111" i="1"/>
  <c r="E271" i="1"/>
  <c r="E253" i="1"/>
  <c r="E207" i="1"/>
  <c r="E289" i="1"/>
  <c r="E259" i="1"/>
  <c r="E182" i="1"/>
  <c r="E283" i="1"/>
  <c r="E275" i="1"/>
  <c r="E248" i="1"/>
  <c r="E232" i="1"/>
  <c r="E177" i="1"/>
  <c r="E175" i="1"/>
  <c r="E278" i="1"/>
  <c r="E263" i="1"/>
  <c r="E266" i="1"/>
  <c r="E223" i="1"/>
  <c r="E258" i="1"/>
  <c r="E197" i="1"/>
  <c r="E164" i="1"/>
  <c r="E162" i="1"/>
  <c r="E131" i="1"/>
  <c r="E261" i="1"/>
  <c r="E242" i="1"/>
  <c r="E202" i="1"/>
  <c r="E210" i="1"/>
  <c r="E146" i="1"/>
  <c r="E143" i="1"/>
  <c r="E127" i="1"/>
  <c r="E122" i="1"/>
  <c r="E117" i="1"/>
  <c r="E112" i="1"/>
  <c r="E103" i="1"/>
  <c r="E80" i="1"/>
  <c r="E76" i="1"/>
  <c r="E71" i="1"/>
  <c r="E66" i="1"/>
  <c r="E61" i="1"/>
  <c r="E56" i="1"/>
  <c r="E44" i="1"/>
  <c r="E39" i="1"/>
  <c r="E14" i="1"/>
  <c r="E113" i="1"/>
  <c r="E107" i="1"/>
  <c r="E84" i="1"/>
  <c r="E43" i="1"/>
  <c r="E38" i="1"/>
  <c r="E33" i="1"/>
  <c r="E28" i="1"/>
  <c r="E23" i="1"/>
  <c r="E18" i="1"/>
  <c r="E13" i="1"/>
  <c r="E236" i="1"/>
  <c r="E78" i="1"/>
  <c r="E174" i="1"/>
  <c r="E166" i="1"/>
  <c r="E163" i="1"/>
  <c r="E100" i="1"/>
  <c r="E88" i="1"/>
  <c r="E77" i="1"/>
  <c r="E72" i="1"/>
  <c r="E67" i="1"/>
  <c r="E62" i="1"/>
  <c r="E57" i="1"/>
  <c r="E104" i="1"/>
  <c r="E81" i="1"/>
  <c r="E24" i="1"/>
  <c r="E85" i="1"/>
  <c r="E200" i="1"/>
  <c r="E157" i="1"/>
  <c r="E154" i="1"/>
  <c r="E151" i="1"/>
  <c r="E34" i="1"/>
  <c r="E29" i="1"/>
  <c r="E19" i="1"/>
  <c r="E148" i="1"/>
  <c r="E152" i="1"/>
  <c r="E87" i="1"/>
  <c r="E42" i="1"/>
  <c r="E37" i="1"/>
  <c r="E32" i="1"/>
  <c r="E27" i="1"/>
  <c r="E22" i="1"/>
  <c r="E17" i="1"/>
  <c r="E12" i="1"/>
  <c r="E133" i="1"/>
  <c r="E123" i="1"/>
  <c r="E118" i="1"/>
  <c r="E108" i="1"/>
  <c r="E101" i="1"/>
  <c r="E124" i="1"/>
  <c r="E105" i="1"/>
  <c r="E31" i="1"/>
  <c r="E20" i="1"/>
  <c r="E35" i="1"/>
  <c r="E79" i="1"/>
  <c r="E74" i="1"/>
  <c r="E65" i="1"/>
  <c r="E26" i="1"/>
  <c r="E41" i="1"/>
  <c r="E30" i="1"/>
  <c r="E69" i="1"/>
  <c r="E45" i="1"/>
  <c r="E159" i="1"/>
  <c r="E109" i="1"/>
  <c r="E168" i="1"/>
  <c r="E130" i="1"/>
  <c r="E102" i="1"/>
  <c r="E82" i="1"/>
  <c r="E70" i="1"/>
  <c r="E63" i="1"/>
  <c r="E46" i="1"/>
  <c r="E90" i="1"/>
  <c r="E73" i="1"/>
  <c r="E64" i="1"/>
  <c r="E25" i="1"/>
  <c r="E161" i="1"/>
  <c r="E114" i="1"/>
  <c r="E15" i="1"/>
  <c r="E220" i="1"/>
  <c r="E60" i="1"/>
  <c r="E21" i="1"/>
  <c r="E58" i="1"/>
  <c r="E153" i="1"/>
  <c r="E128" i="1"/>
  <c r="E106" i="1"/>
  <c r="E86" i="1"/>
  <c r="E83" i="1"/>
  <c r="E75" i="1"/>
  <c r="E68" i="1"/>
  <c r="E59" i="1"/>
  <c r="E16" i="1"/>
  <c r="E172" i="1"/>
  <c r="E119" i="1"/>
  <c r="E89" i="1"/>
  <c r="E36" i="1"/>
  <c r="E40" i="1"/>
  <c r="F284" i="1"/>
  <c r="F274" i="1"/>
  <c r="F264" i="1"/>
  <c r="F251" i="1"/>
  <c r="F241" i="1"/>
  <c r="F231" i="1"/>
  <c r="F221" i="1"/>
  <c r="F214" i="1"/>
  <c r="F209" i="1"/>
  <c r="F204" i="1"/>
  <c r="F199" i="1"/>
  <c r="F194" i="1"/>
  <c r="F189" i="1"/>
  <c r="F184" i="1"/>
  <c r="F291" i="1"/>
  <c r="F281" i="1"/>
  <c r="F271" i="1"/>
  <c r="F261" i="1"/>
  <c r="F248" i="1"/>
  <c r="F238" i="1"/>
  <c r="F228" i="1"/>
  <c r="F177" i="1"/>
  <c r="F289" i="1"/>
  <c r="F279" i="1"/>
  <c r="F269" i="1"/>
  <c r="F259" i="1"/>
  <c r="F246" i="1"/>
  <c r="F236" i="1"/>
  <c r="F226" i="1"/>
  <c r="F287" i="1"/>
  <c r="F277" i="1"/>
  <c r="F267" i="1"/>
  <c r="F257" i="1"/>
  <c r="F244" i="1"/>
  <c r="F234" i="1"/>
  <c r="F224" i="1"/>
  <c r="F286" i="1"/>
  <c r="F260" i="1"/>
  <c r="F252" i="1"/>
  <c r="F233" i="1"/>
  <c r="F176" i="1"/>
  <c r="F165" i="1"/>
  <c r="F160" i="1"/>
  <c r="F155" i="1"/>
  <c r="F150" i="1"/>
  <c r="F145" i="1"/>
  <c r="F130" i="1"/>
  <c r="F288" i="1"/>
  <c r="F262" i="1"/>
  <c r="F240" i="1"/>
  <c r="F235" i="1"/>
  <c r="F205" i="1"/>
  <c r="F198" i="1"/>
  <c r="F190" i="1"/>
  <c r="F187" i="1"/>
  <c r="F170" i="1"/>
  <c r="F276" i="1"/>
  <c r="F247" i="1"/>
  <c r="F242" i="1"/>
  <c r="F223" i="1"/>
  <c r="F207" i="1"/>
  <c r="F203" i="1"/>
  <c r="F201" i="1"/>
  <c r="F174" i="1"/>
  <c r="F166" i="1"/>
  <c r="F161" i="1"/>
  <c r="F156" i="1"/>
  <c r="F151" i="1"/>
  <c r="F146" i="1"/>
  <c r="F131" i="1"/>
  <c r="F283" i="1"/>
  <c r="F272" i="1"/>
  <c r="F250" i="1"/>
  <c r="F245" i="1"/>
  <c r="F219" i="1"/>
  <c r="F195" i="1"/>
  <c r="F192" i="1"/>
  <c r="F181" i="1"/>
  <c r="F173" i="1"/>
  <c r="F290" i="1"/>
  <c r="F285" i="1"/>
  <c r="F265" i="1"/>
  <c r="F222" i="1"/>
  <c r="F212" i="1"/>
  <c r="F171" i="1"/>
  <c r="F169" i="1"/>
  <c r="F158" i="1"/>
  <c r="F134" i="1"/>
  <c r="F268" i="1"/>
  <c r="F249" i="1"/>
  <c r="F225" i="1"/>
  <c r="F211" i="1"/>
  <c r="F193" i="1"/>
  <c r="F188" i="1"/>
  <c r="F185" i="1"/>
  <c r="F183" i="1"/>
  <c r="F180" i="1"/>
  <c r="F149" i="1"/>
  <c r="F147" i="1"/>
  <c r="F132" i="1"/>
  <c r="F129" i="1"/>
  <c r="F126" i="1"/>
  <c r="F121" i="1"/>
  <c r="F116" i="1"/>
  <c r="F111" i="1"/>
  <c r="F106" i="1"/>
  <c r="F101" i="1"/>
  <c r="F87" i="1"/>
  <c r="F82" i="1"/>
  <c r="F280" i="1"/>
  <c r="F253" i="1"/>
  <c r="F237" i="1"/>
  <c r="F208" i="1"/>
  <c r="F163" i="1"/>
  <c r="F229" i="1"/>
  <c r="F182" i="1"/>
  <c r="F275" i="1"/>
  <c r="F232" i="1"/>
  <c r="F175" i="1"/>
  <c r="F278" i="1"/>
  <c r="F263" i="1"/>
  <c r="F220" i="1"/>
  <c r="F210" i="1"/>
  <c r="F200" i="1"/>
  <c r="F266" i="1"/>
  <c r="F258" i="1"/>
  <c r="F239" i="1"/>
  <c r="F206" i="1"/>
  <c r="F197" i="1"/>
  <c r="F282" i="1"/>
  <c r="F270" i="1"/>
  <c r="F243" i="1"/>
  <c r="F227" i="1"/>
  <c r="F202" i="1"/>
  <c r="F153" i="1"/>
  <c r="F273" i="1"/>
  <c r="F230" i="1"/>
  <c r="F215" i="1"/>
  <c r="F196" i="1"/>
  <c r="F191" i="1"/>
  <c r="F186" i="1"/>
  <c r="F164" i="1"/>
  <c r="F107" i="1"/>
  <c r="F84" i="1"/>
  <c r="F43" i="1"/>
  <c r="F38" i="1"/>
  <c r="F33" i="1"/>
  <c r="F28" i="1"/>
  <c r="F23" i="1"/>
  <c r="F18" i="1"/>
  <c r="F13" i="1"/>
  <c r="F29" i="1"/>
  <c r="F85" i="1"/>
  <c r="F73" i="1"/>
  <c r="F100" i="1"/>
  <c r="F88" i="1"/>
  <c r="F77" i="1"/>
  <c r="F72" i="1"/>
  <c r="F67" i="1"/>
  <c r="F62" i="1"/>
  <c r="F57" i="1"/>
  <c r="F157" i="1"/>
  <c r="F154" i="1"/>
  <c r="F125" i="1"/>
  <c r="F120" i="1"/>
  <c r="F115" i="1"/>
  <c r="F110" i="1"/>
  <c r="F104" i="1"/>
  <c r="F81" i="1"/>
  <c r="F44" i="1"/>
  <c r="F39" i="1"/>
  <c r="F34" i="1"/>
  <c r="F24" i="1"/>
  <c r="F19" i="1"/>
  <c r="F14" i="1"/>
  <c r="F123" i="1"/>
  <c r="F118" i="1"/>
  <c r="F113" i="1"/>
  <c r="F108" i="1"/>
  <c r="F78" i="1"/>
  <c r="F68" i="1"/>
  <c r="F63" i="1"/>
  <c r="F58" i="1"/>
  <c r="F148" i="1"/>
  <c r="F142" i="1"/>
  <c r="F133" i="1"/>
  <c r="F213" i="1"/>
  <c r="F167" i="1"/>
  <c r="F143" i="1"/>
  <c r="F127" i="1"/>
  <c r="F122" i="1"/>
  <c r="F117" i="1"/>
  <c r="F112" i="1"/>
  <c r="F103" i="1"/>
  <c r="F80" i="1"/>
  <c r="F76" i="1"/>
  <c r="F71" i="1"/>
  <c r="F66" i="1"/>
  <c r="F61" i="1"/>
  <c r="F56" i="1"/>
  <c r="F89" i="1"/>
  <c r="F16" i="1"/>
  <c r="F83" i="1"/>
  <c r="F86" i="1"/>
  <c r="G71" i="1"/>
  <c r="F128" i="1"/>
  <c r="F152" i="1"/>
  <c r="B286" i="1"/>
  <c r="B276" i="1"/>
  <c r="B266" i="1"/>
  <c r="B253" i="1"/>
  <c r="B243" i="1"/>
  <c r="B233" i="1"/>
  <c r="B223" i="1"/>
  <c r="B283" i="1"/>
  <c r="B273" i="1"/>
  <c r="B263" i="1"/>
  <c r="B250" i="1"/>
  <c r="B240" i="1"/>
  <c r="B230" i="1"/>
  <c r="B220" i="1"/>
  <c r="B291" i="1"/>
  <c r="B281" i="1"/>
  <c r="B271" i="1"/>
  <c r="B261" i="1"/>
  <c r="B248" i="1"/>
  <c r="B238" i="1"/>
  <c r="B228" i="1"/>
  <c r="B289" i="1"/>
  <c r="B279" i="1"/>
  <c r="B269" i="1"/>
  <c r="B259" i="1"/>
  <c r="B246" i="1"/>
  <c r="B236" i="1"/>
  <c r="B226" i="1"/>
  <c r="B282" i="1"/>
  <c r="B277" i="1"/>
  <c r="B258" i="1"/>
  <c r="B229" i="1"/>
  <c r="B224" i="1"/>
  <c r="B284" i="1"/>
  <c r="B265" i="1"/>
  <c r="B260" i="1"/>
  <c r="B231" i="1"/>
  <c r="B272" i="1"/>
  <c r="B267" i="1"/>
  <c r="B245" i="1"/>
  <c r="B219" i="1"/>
  <c r="B275" i="1"/>
  <c r="B270" i="1"/>
  <c r="B241" i="1"/>
  <c r="B222" i="1"/>
  <c r="B257" i="1"/>
  <c r="B239" i="1"/>
  <c r="B290" i="1"/>
  <c r="B242" i="1"/>
  <c r="B234" i="1"/>
  <c r="B285" i="1"/>
  <c r="B280" i="1"/>
  <c r="B264" i="1"/>
  <c r="B237" i="1"/>
  <c r="B221" i="1"/>
  <c r="B268" i="1"/>
  <c r="B249" i="1"/>
  <c r="B225" i="1"/>
  <c r="B288" i="1"/>
  <c r="B252" i="1"/>
  <c r="B274" i="1"/>
  <c r="B247" i="1"/>
  <c r="B232" i="1"/>
  <c r="B278" i="1"/>
  <c r="B262" i="1"/>
  <c r="B235" i="1"/>
  <c r="B287" i="1"/>
  <c r="B251" i="1"/>
  <c r="B227" i="1"/>
  <c r="B16" i="1"/>
  <c r="B12" i="1"/>
  <c r="B244" i="1"/>
  <c r="B17" i="1"/>
  <c r="F20" i="1"/>
  <c r="F31" i="1"/>
  <c r="F42" i="1"/>
  <c r="G46" i="1"/>
  <c r="G70" i="1"/>
  <c r="G80" i="1"/>
  <c r="G102" i="1"/>
  <c r="F105" i="1"/>
  <c r="C118" i="1"/>
  <c r="C121" i="1"/>
  <c r="F124" i="1"/>
  <c r="C150" i="1"/>
  <c r="C156" i="1"/>
  <c r="G162" i="1"/>
  <c r="F12" i="1"/>
  <c r="F64" i="1"/>
  <c r="G21" i="1"/>
  <c r="G119" i="1"/>
  <c r="F30" i="1"/>
  <c r="F41" i="1"/>
  <c r="G60" i="1"/>
  <c r="C123" i="1"/>
  <c r="C126" i="1"/>
  <c r="C147" i="1"/>
  <c r="C168" i="1"/>
  <c r="F75" i="1"/>
  <c r="G291" i="1"/>
  <c r="G281" i="1"/>
  <c r="G271" i="1"/>
  <c r="G261" i="1"/>
  <c r="G248" i="1"/>
  <c r="G238" i="1"/>
  <c r="G228" i="1"/>
  <c r="G177" i="1"/>
  <c r="G172" i="1"/>
  <c r="G288" i="1"/>
  <c r="G278" i="1"/>
  <c r="G268" i="1"/>
  <c r="G258" i="1"/>
  <c r="G245" i="1"/>
  <c r="G235" i="1"/>
  <c r="G225" i="1"/>
  <c r="G215" i="1"/>
  <c r="G210" i="1"/>
  <c r="G205" i="1"/>
  <c r="G200" i="1"/>
  <c r="G195" i="1"/>
  <c r="G190" i="1"/>
  <c r="G185" i="1"/>
  <c r="G180" i="1"/>
  <c r="G286" i="1"/>
  <c r="G276" i="1"/>
  <c r="G266" i="1"/>
  <c r="G253" i="1"/>
  <c r="G243" i="1"/>
  <c r="G233" i="1"/>
  <c r="G223" i="1"/>
  <c r="G212" i="1"/>
  <c r="G207" i="1"/>
  <c r="G202" i="1"/>
  <c r="G284" i="1"/>
  <c r="G274" i="1"/>
  <c r="G264" i="1"/>
  <c r="G251" i="1"/>
  <c r="G241" i="1"/>
  <c r="G231" i="1"/>
  <c r="G221" i="1"/>
  <c r="G214" i="1"/>
  <c r="G209" i="1"/>
  <c r="G204" i="1"/>
  <c r="G267" i="1"/>
  <c r="G262" i="1"/>
  <c r="G240" i="1"/>
  <c r="G198" i="1"/>
  <c r="G187" i="1"/>
  <c r="G184" i="1"/>
  <c r="G170" i="1"/>
  <c r="G269" i="1"/>
  <c r="G247" i="1"/>
  <c r="G242" i="1"/>
  <c r="G203" i="1"/>
  <c r="G201" i="1"/>
  <c r="G174" i="1"/>
  <c r="G166" i="1"/>
  <c r="G161" i="1"/>
  <c r="G156" i="1"/>
  <c r="G151" i="1"/>
  <c r="G146" i="1"/>
  <c r="G283" i="1"/>
  <c r="G257" i="1"/>
  <c r="G249" i="1"/>
  <c r="G230" i="1"/>
  <c r="G211" i="1"/>
  <c r="G196" i="1"/>
  <c r="G193" i="1"/>
  <c r="G182" i="1"/>
  <c r="G290" i="1"/>
  <c r="G285" i="1"/>
  <c r="G279" i="1"/>
  <c r="G260" i="1"/>
  <c r="G252" i="1"/>
  <c r="G226" i="1"/>
  <c r="G176" i="1"/>
  <c r="G277" i="1"/>
  <c r="G250" i="1"/>
  <c r="G234" i="1"/>
  <c r="G188" i="1"/>
  <c r="G183" i="1"/>
  <c r="G149" i="1"/>
  <c r="G147" i="1"/>
  <c r="G132" i="1"/>
  <c r="G129" i="1"/>
  <c r="G126" i="1"/>
  <c r="G121" i="1"/>
  <c r="G116" i="1"/>
  <c r="G111" i="1"/>
  <c r="G280" i="1"/>
  <c r="G237" i="1"/>
  <c r="G208" i="1"/>
  <c r="G165" i="1"/>
  <c r="G163" i="1"/>
  <c r="G272" i="1"/>
  <c r="G229" i="1"/>
  <c r="G173" i="1"/>
  <c r="G154" i="1"/>
  <c r="G152" i="1"/>
  <c r="G127" i="1"/>
  <c r="G122" i="1"/>
  <c r="G117" i="1"/>
  <c r="G112" i="1"/>
  <c r="G289" i="1"/>
  <c r="G275" i="1"/>
  <c r="G259" i="1"/>
  <c r="G232" i="1"/>
  <c r="G175" i="1"/>
  <c r="G263" i="1"/>
  <c r="G244" i="1"/>
  <c r="G220" i="1"/>
  <c r="G236" i="1"/>
  <c r="G213" i="1"/>
  <c r="G287" i="1"/>
  <c r="G282" i="1"/>
  <c r="G270" i="1"/>
  <c r="G227" i="1"/>
  <c r="G273" i="1"/>
  <c r="G219" i="1"/>
  <c r="G199" i="1"/>
  <c r="G194" i="1"/>
  <c r="G191" i="1"/>
  <c r="G189" i="1"/>
  <c r="G186" i="1"/>
  <c r="G181" i="1"/>
  <c r="G167" i="1"/>
  <c r="G144" i="1"/>
  <c r="G142" i="1"/>
  <c r="G265" i="1"/>
  <c r="G246" i="1"/>
  <c r="G222" i="1"/>
  <c r="G155" i="1"/>
  <c r="G100" i="1"/>
  <c r="G88" i="1"/>
  <c r="G77" i="1"/>
  <c r="G72" i="1"/>
  <c r="G67" i="1"/>
  <c r="G62" i="1"/>
  <c r="G57" i="1"/>
  <c r="G29" i="1"/>
  <c r="G19" i="1"/>
  <c r="G89" i="1"/>
  <c r="G35" i="1"/>
  <c r="G20" i="1"/>
  <c r="G15" i="1"/>
  <c r="G206" i="1"/>
  <c r="G157" i="1"/>
  <c r="G131" i="1"/>
  <c r="G125" i="1"/>
  <c r="G120" i="1"/>
  <c r="G115" i="1"/>
  <c r="G110" i="1"/>
  <c r="G104" i="1"/>
  <c r="G81" i="1"/>
  <c r="G44" i="1"/>
  <c r="G39" i="1"/>
  <c r="G34" i="1"/>
  <c r="G24" i="1"/>
  <c r="G14" i="1"/>
  <c r="G168" i="1"/>
  <c r="G148" i="1"/>
  <c r="G145" i="1"/>
  <c r="G133" i="1"/>
  <c r="G123" i="1"/>
  <c r="G118" i="1"/>
  <c r="G113" i="1"/>
  <c r="G108" i="1"/>
  <c r="G85" i="1"/>
  <c r="G78" i="1"/>
  <c r="G73" i="1"/>
  <c r="G68" i="1"/>
  <c r="G63" i="1"/>
  <c r="G58" i="1"/>
  <c r="G101" i="1"/>
  <c r="G45" i="1"/>
  <c r="G30" i="1"/>
  <c r="G25" i="1"/>
  <c r="G239" i="1"/>
  <c r="G169" i="1"/>
  <c r="G160" i="1"/>
  <c r="G40" i="1"/>
  <c r="G197" i="1"/>
  <c r="G128" i="1"/>
  <c r="G164" i="1"/>
  <c r="G158" i="1"/>
  <c r="G134" i="1"/>
  <c r="G107" i="1"/>
  <c r="G84" i="1"/>
  <c r="G43" i="1"/>
  <c r="G38" i="1"/>
  <c r="G33" i="1"/>
  <c r="G28" i="1"/>
  <c r="G23" i="1"/>
  <c r="G18" i="1"/>
  <c r="G13" i="1"/>
  <c r="G105" i="1"/>
  <c r="G82" i="1"/>
  <c r="G192" i="1"/>
  <c r="F21" i="1"/>
  <c r="F32" i="1"/>
  <c r="G36" i="1"/>
  <c r="G64" i="1"/>
  <c r="F172" i="1"/>
  <c r="F17" i="1"/>
  <c r="F45" i="1"/>
  <c r="F90" i="1"/>
  <c r="G17" i="1"/>
  <c r="C20" i="1"/>
  <c r="D24" i="1"/>
  <c r="F26" i="1"/>
  <c r="D35" i="1"/>
  <c r="F37" i="1"/>
  <c r="G41" i="1"/>
  <c r="D46" i="1"/>
  <c r="G56" i="1"/>
  <c r="D63" i="1"/>
  <c r="F65" i="1"/>
  <c r="C72" i="1"/>
  <c r="F74" i="1"/>
  <c r="F79" i="1"/>
  <c r="D82" i="1"/>
  <c r="D85" i="1"/>
  <c r="D102" i="1"/>
  <c r="D123" i="1"/>
  <c r="D126" i="1"/>
  <c r="C130" i="1"/>
  <c r="D147" i="1"/>
  <c r="C177" i="1"/>
  <c r="F40" i="1"/>
  <c r="F109" i="1"/>
  <c r="F144" i="1"/>
  <c r="F25" i="1"/>
  <c r="G32" i="1"/>
  <c r="F69" i="1"/>
  <c r="G159" i="1"/>
  <c r="F15" i="1"/>
  <c r="D290" i="1"/>
  <c r="D280" i="1"/>
  <c r="D270" i="1"/>
  <c r="D260" i="1"/>
  <c r="D247" i="1"/>
  <c r="D237" i="1"/>
  <c r="D227" i="1"/>
  <c r="D213" i="1"/>
  <c r="D208" i="1"/>
  <c r="D203" i="1"/>
  <c r="D198" i="1"/>
  <c r="D193" i="1"/>
  <c r="D188" i="1"/>
  <c r="D183" i="1"/>
  <c r="D287" i="1"/>
  <c r="D277" i="1"/>
  <c r="D267" i="1"/>
  <c r="D257" i="1"/>
  <c r="D244" i="1"/>
  <c r="D234" i="1"/>
  <c r="D224" i="1"/>
  <c r="D176" i="1"/>
  <c r="D285" i="1"/>
  <c r="D275" i="1"/>
  <c r="D265" i="1"/>
  <c r="D252" i="1"/>
  <c r="D242" i="1"/>
  <c r="D232" i="1"/>
  <c r="D222" i="1"/>
  <c r="D283" i="1"/>
  <c r="D273" i="1"/>
  <c r="D263" i="1"/>
  <c r="D250" i="1"/>
  <c r="D240" i="1"/>
  <c r="D230" i="1"/>
  <c r="D220" i="1"/>
  <c r="D291" i="1"/>
  <c r="D272" i="1"/>
  <c r="D243" i="1"/>
  <c r="D238" i="1"/>
  <c r="D219" i="1"/>
  <c r="D212" i="1"/>
  <c r="D169" i="1"/>
  <c r="D164" i="1"/>
  <c r="D159" i="1"/>
  <c r="D154" i="1"/>
  <c r="D149" i="1"/>
  <c r="D144" i="1"/>
  <c r="D134" i="1"/>
  <c r="D129" i="1"/>
  <c r="D279" i="1"/>
  <c r="D274" i="1"/>
  <c r="D245" i="1"/>
  <c r="D226" i="1"/>
  <c r="D221" i="1"/>
  <c r="D195" i="1"/>
  <c r="D192" i="1"/>
  <c r="D184" i="1"/>
  <c r="D181" i="1"/>
  <c r="D173" i="1"/>
  <c r="D286" i="1"/>
  <c r="D281" i="1"/>
  <c r="D262" i="1"/>
  <c r="D233" i="1"/>
  <c r="D228" i="1"/>
  <c r="D165" i="1"/>
  <c r="D160" i="1"/>
  <c r="D155" i="1"/>
  <c r="D150" i="1"/>
  <c r="D145" i="1"/>
  <c r="D130" i="1"/>
  <c r="D288" i="1"/>
  <c r="D289" i="1"/>
  <c r="D284" i="1"/>
  <c r="D258" i="1"/>
  <c r="D236" i="1"/>
  <c r="D231" i="1"/>
  <c r="D214" i="1"/>
  <c r="D210" i="1"/>
  <c r="D200" i="1"/>
  <c r="D197" i="1"/>
  <c r="D189" i="1"/>
  <c r="D186" i="1"/>
  <c r="D261" i="1"/>
  <c r="D202" i="1"/>
  <c r="D153" i="1"/>
  <c r="D151" i="1"/>
  <c r="D264" i="1"/>
  <c r="D246" i="1"/>
  <c r="D215" i="1"/>
  <c r="D201" i="1"/>
  <c r="D196" i="1"/>
  <c r="D191" i="1"/>
  <c r="D171" i="1"/>
  <c r="D167" i="1"/>
  <c r="D142" i="1"/>
  <c r="D125" i="1"/>
  <c r="D120" i="1"/>
  <c r="D115" i="1"/>
  <c r="D110" i="1"/>
  <c r="D105" i="1"/>
  <c r="D100" i="1"/>
  <c r="D86" i="1"/>
  <c r="D81" i="1"/>
  <c r="D276" i="1"/>
  <c r="D249" i="1"/>
  <c r="D211" i="1"/>
  <c r="D158" i="1"/>
  <c r="D156" i="1"/>
  <c r="D268" i="1"/>
  <c r="D241" i="1"/>
  <c r="D225" i="1"/>
  <c r="D204" i="1"/>
  <c r="D190" i="1"/>
  <c r="D185" i="1"/>
  <c r="D180" i="1"/>
  <c r="D271" i="1"/>
  <c r="D253" i="1"/>
  <c r="D229" i="1"/>
  <c r="D207" i="1"/>
  <c r="D259" i="1"/>
  <c r="D187" i="1"/>
  <c r="D182" i="1"/>
  <c r="D278" i="1"/>
  <c r="D251" i="1"/>
  <c r="D235" i="1"/>
  <c r="D209" i="1"/>
  <c r="D266" i="1"/>
  <c r="D239" i="1"/>
  <c r="D223" i="1"/>
  <c r="D206" i="1"/>
  <c r="D174" i="1"/>
  <c r="D172" i="1"/>
  <c r="D148" i="1"/>
  <c r="D146" i="1"/>
  <c r="D282" i="1"/>
  <c r="D269" i="1"/>
  <c r="D205" i="1"/>
  <c r="D199" i="1"/>
  <c r="D194" i="1"/>
  <c r="D170" i="1"/>
  <c r="D152" i="1"/>
  <c r="D87" i="1"/>
  <c r="D42" i="1"/>
  <c r="D37" i="1"/>
  <c r="D32" i="1"/>
  <c r="D27" i="1"/>
  <c r="D22" i="1"/>
  <c r="D17" i="1"/>
  <c r="D12" i="1"/>
  <c r="D23" i="1"/>
  <c r="D18" i="1"/>
  <c r="D77" i="1"/>
  <c r="D67" i="1"/>
  <c r="D62" i="1"/>
  <c r="D57" i="1"/>
  <c r="D248" i="1"/>
  <c r="D175" i="1"/>
  <c r="D143" i="1"/>
  <c r="D127" i="1"/>
  <c r="D122" i="1"/>
  <c r="D117" i="1"/>
  <c r="D112" i="1"/>
  <c r="D103" i="1"/>
  <c r="D80" i="1"/>
  <c r="D76" i="1"/>
  <c r="D71" i="1"/>
  <c r="D66" i="1"/>
  <c r="D61" i="1"/>
  <c r="D56" i="1"/>
  <c r="D157" i="1"/>
  <c r="D104" i="1"/>
  <c r="D131" i="1"/>
  <c r="D107" i="1"/>
  <c r="D84" i="1"/>
  <c r="D43" i="1"/>
  <c r="D38" i="1"/>
  <c r="D33" i="1"/>
  <c r="D28" i="1"/>
  <c r="D13" i="1"/>
  <c r="D88" i="1"/>
  <c r="D72" i="1"/>
  <c r="D166" i="1"/>
  <c r="D163" i="1"/>
  <c r="D161" i="1"/>
  <c r="D124" i="1"/>
  <c r="D119" i="1"/>
  <c r="D114" i="1"/>
  <c r="D109" i="1"/>
  <c r="D106" i="1"/>
  <c r="D90" i="1"/>
  <c r="D83" i="1"/>
  <c r="D75" i="1"/>
  <c r="D70" i="1"/>
  <c r="D65" i="1"/>
  <c r="D60" i="1"/>
  <c r="D20" i="1"/>
  <c r="D31" i="1"/>
  <c r="G37" i="1"/>
  <c r="C44" i="1"/>
  <c r="C59" i="1"/>
  <c r="G65" i="1"/>
  <c r="C68" i="1"/>
  <c r="G74" i="1"/>
  <c r="G79" i="1"/>
  <c r="C105" i="1"/>
  <c r="C108" i="1"/>
  <c r="C111" i="1"/>
  <c r="F114" i="1"/>
  <c r="C148" i="1"/>
  <c r="D162" i="1"/>
  <c r="D177" i="1"/>
  <c r="F59" i="1"/>
  <c r="F36" i="1"/>
  <c r="G106" i="1"/>
  <c r="G109" i="1"/>
  <c r="G87" i="1"/>
  <c r="F119" i="1"/>
  <c r="F159" i="1"/>
  <c r="F60" i="1"/>
  <c r="G76" i="1"/>
  <c r="G153" i="1"/>
  <c r="B13" i="1"/>
  <c r="G69" i="1"/>
  <c r="G90" i="1"/>
  <c r="C283" i="1"/>
  <c r="C273" i="1"/>
  <c r="C263" i="1"/>
  <c r="C250" i="1"/>
  <c r="C240" i="1"/>
  <c r="C230" i="1"/>
  <c r="C220" i="1"/>
  <c r="C175" i="1"/>
  <c r="C170" i="1"/>
  <c r="C290" i="1"/>
  <c r="C280" i="1"/>
  <c r="C270" i="1"/>
  <c r="C260" i="1"/>
  <c r="C247" i="1"/>
  <c r="C237" i="1"/>
  <c r="C227" i="1"/>
  <c r="C213" i="1"/>
  <c r="C208" i="1"/>
  <c r="C203" i="1"/>
  <c r="C198" i="1"/>
  <c r="C193" i="1"/>
  <c r="C188" i="1"/>
  <c r="C183" i="1"/>
  <c r="C288" i="1"/>
  <c r="C278" i="1"/>
  <c r="C268" i="1"/>
  <c r="C258" i="1"/>
  <c r="C245" i="1"/>
  <c r="C235" i="1"/>
  <c r="C225" i="1"/>
  <c r="C215" i="1"/>
  <c r="C210" i="1"/>
  <c r="C205" i="1"/>
  <c r="C286" i="1"/>
  <c r="C276" i="1"/>
  <c r="C266" i="1"/>
  <c r="C253" i="1"/>
  <c r="C243" i="1"/>
  <c r="C233" i="1"/>
  <c r="C223" i="1"/>
  <c r="C212" i="1"/>
  <c r="C207" i="1"/>
  <c r="C289" i="1"/>
  <c r="C284" i="1"/>
  <c r="C265" i="1"/>
  <c r="C236" i="1"/>
  <c r="C231" i="1"/>
  <c r="C214" i="1"/>
  <c r="C200" i="1"/>
  <c r="C197" i="1"/>
  <c r="C189" i="1"/>
  <c r="C186" i="1"/>
  <c r="C291" i="1"/>
  <c r="C272" i="1"/>
  <c r="C267" i="1"/>
  <c r="C238" i="1"/>
  <c r="C219" i="1"/>
  <c r="C176" i="1"/>
  <c r="C169" i="1"/>
  <c r="C164" i="1"/>
  <c r="C159" i="1"/>
  <c r="C154" i="1"/>
  <c r="C149" i="1"/>
  <c r="C144" i="1"/>
  <c r="C134" i="1"/>
  <c r="C279" i="1"/>
  <c r="C274" i="1"/>
  <c r="C252" i="1"/>
  <c r="C226" i="1"/>
  <c r="C221" i="1"/>
  <c r="C195" i="1"/>
  <c r="C192" i="1"/>
  <c r="C184" i="1"/>
  <c r="C181" i="1"/>
  <c r="C173" i="1"/>
  <c r="C281" i="1"/>
  <c r="C282" i="1"/>
  <c r="C277" i="1"/>
  <c r="C248" i="1"/>
  <c r="C229" i="1"/>
  <c r="C224" i="1"/>
  <c r="C206" i="1"/>
  <c r="C202" i="1"/>
  <c r="C172" i="1"/>
  <c r="C269" i="1"/>
  <c r="C242" i="1"/>
  <c r="C199" i="1"/>
  <c r="C194" i="1"/>
  <c r="C162" i="1"/>
  <c r="C160" i="1"/>
  <c r="C131" i="1"/>
  <c r="C128" i="1"/>
  <c r="C124" i="1"/>
  <c r="C119" i="1"/>
  <c r="C114" i="1"/>
  <c r="C109" i="1"/>
  <c r="C261" i="1"/>
  <c r="C234" i="1"/>
  <c r="C153" i="1"/>
  <c r="C151" i="1"/>
  <c r="C285" i="1"/>
  <c r="C264" i="1"/>
  <c r="C246" i="1"/>
  <c r="C222" i="1"/>
  <c r="C201" i="1"/>
  <c r="C196" i="1"/>
  <c r="C191" i="1"/>
  <c r="C171" i="1"/>
  <c r="C167" i="1"/>
  <c r="C165" i="1"/>
  <c r="C142" i="1"/>
  <c r="C125" i="1"/>
  <c r="C120" i="1"/>
  <c r="C115" i="1"/>
  <c r="C110" i="1"/>
  <c r="C249" i="1"/>
  <c r="C211" i="1"/>
  <c r="C241" i="1"/>
  <c r="C204" i="1"/>
  <c r="C190" i="1"/>
  <c r="C185" i="1"/>
  <c r="C180" i="1"/>
  <c r="C271" i="1"/>
  <c r="C244" i="1"/>
  <c r="C228" i="1"/>
  <c r="C275" i="1"/>
  <c r="C259" i="1"/>
  <c r="C262" i="1"/>
  <c r="C287" i="1"/>
  <c r="C251" i="1"/>
  <c r="C209" i="1"/>
  <c r="C157" i="1"/>
  <c r="C155" i="1"/>
  <c r="C133" i="1"/>
  <c r="C257" i="1"/>
  <c r="C239" i="1"/>
  <c r="C161" i="1"/>
  <c r="C158" i="1"/>
  <c r="C106" i="1"/>
  <c r="C90" i="1"/>
  <c r="C83" i="1"/>
  <c r="C75" i="1"/>
  <c r="C70" i="1"/>
  <c r="C65" i="1"/>
  <c r="C60" i="1"/>
  <c r="C22" i="1"/>
  <c r="C100" i="1"/>
  <c r="C43" i="1"/>
  <c r="C38" i="1"/>
  <c r="C18" i="1"/>
  <c r="C81" i="1"/>
  <c r="C152" i="1"/>
  <c r="C146" i="1"/>
  <c r="C129" i="1"/>
  <c r="C87" i="1"/>
  <c r="C42" i="1"/>
  <c r="C37" i="1"/>
  <c r="C32" i="1"/>
  <c r="C27" i="1"/>
  <c r="C17" i="1"/>
  <c r="C12" i="1"/>
  <c r="C166" i="1"/>
  <c r="C88" i="1"/>
  <c r="C143" i="1"/>
  <c r="C127" i="1"/>
  <c r="C122" i="1"/>
  <c r="C117" i="1"/>
  <c r="C112" i="1"/>
  <c r="C103" i="1"/>
  <c r="C80" i="1"/>
  <c r="C76" i="1"/>
  <c r="C71" i="1"/>
  <c r="C66" i="1"/>
  <c r="C61" i="1"/>
  <c r="C56" i="1"/>
  <c r="C107" i="1"/>
  <c r="C84" i="1"/>
  <c r="C33" i="1"/>
  <c r="C28" i="1"/>
  <c r="C23" i="1"/>
  <c r="C13" i="1"/>
  <c r="C182" i="1"/>
  <c r="C174" i="1"/>
  <c r="C145" i="1"/>
  <c r="C163" i="1"/>
  <c r="C187" i="1"/>
  <c r="C102" i="1"/>
  <c r="C79" i="1"/>
  <c r="C46" i="1"/>
  <c r="C41" i="1"/>
  <c r="C36" i="1"/>
  <c r="C31" i="1"/>
  <c r="C26" i="1"/>
  <c r="C21" i="1"/>
  <c r="C16" i="1"/>
  <c r="F22" i="1"/>
  <c r="G26" i="1"/>
  <c r="B14" i="1"/>
  <c r="D16" i="1"/>
  <c r="B18" i="1"/>
  <c r="G22" i="1"/>
  <c r="C29" i="1"/>
  <c r="F35" i="1"/>
  <c r="C40" i="1"/>
  <c r="D44" i="1"/>
  <c r="F46" i="1"/>
  <c r="D59" i="1"/>
  <c r="G61" i="1"/>
  <c r="D68" i="1"/>
  <c r="F70" i="1"/>
  <c r="C77" i="1"/>
  <c r="C86" i="1"/>
  <c r="F102" i="1"/>
  <c r="D108" i="1"/>
  <c r="D111" i="1"/>
  <c r="G114" i="1"/>
  <c r="G130" i="1"/>
  <c r="F162" i="1"/>
  <c r="F168" i="1"/>
  <c r="J20" i="1" l="1"/>
  <c r="B19" i="1"/>
  <c r="J21" i="1" l="1"/>
  <c r="B20" i="1"/>
  <c r="J22" i="1" l="1"/>
  <c r="B21" i="1"/>
  <c r="J23" i="1" l="1"/>
  <c r="B22" i="1"/>
  <c r="J24" i="1" l="1"/>
  <c r="B23" i="1"/>
  <c r="J25" i="1" l="1"/>
  <c r="B24" i="1"/>
  <c r="J26" i="1" l="1"/>
  <c r="B25" i="1"/>
  <c r="J27" i="1" l="1"/>
  <c r="B26" i="1"/>
  <c r="J28" i="1" l="1"/>
  <c r="B27" i="1"/>
  <c r="J29" i="1" l="1"/>
  <c r="B28" i="1"/>
  <c r="J30" i="1" l="1"/>
  <c r="B29" i="1"/>
  <c r="J31" i="1" l="1"/>
  <c r="B30" i="1"/>
  <c r="J32" i="1" l="1"/>
  <c r="B31" i="1"/>
  <c r="J33" i="1" l="1"/>
  <c r="B32" i="1"/>
  <c r="J34" i="1" l="1"/>
  <c r="B33" i="1"/>
  <c r="J35" i="1" l="1"/>
  <c r="B34" i="1"/>
  <c r="J36" i="1" l="1"/>
  <c r="B35" i="1"/>
  <c r="J37" i="1" l="1"/>
  <c r="B36" i="1"/>
  <c r="J38" i="1" l="1"/>
  <c r="B37" i="1"/>
  <c r="J39" i="1" l="1"/>
  <c r="B38" i="1"/>
  <c r="J40" i="1" l="1"/>
  <c r="B39" i="1"/>
  <c r="J41" i="1" l="1"/>
  <c r="B40" i="1"/>
  <c r="J42" i="1" l="1"/>
  <c r="B41" i="1"/>
  <c r="J43" i="1" l="1"/>
  <c r="B42" i="1"/>
  <c r="J44" i="1" l="1"/>
  <c r="B43" i="1"/>
  <c r="J45" i="1" l="1"/>
  <c r="B44" i="1"/>
  <c r="B45" i="1" l="1"/>
  <c r="J46" i="1"/>
  <c r="J47" i="1" l="1"/>
  <c r="J48" i="1" s="1"/>
  <c r="J49" i="1" s="1"/>
  <c r="J50" i="1" s="1"/>
  <c r="J51" i="1" s="1"/>
  <c r="J52" i="1" s="1"/>
  <c r="J53" i="1" s="1"/>
  <c r="J54" i="1" s="1"/>
  <c r="J55" i="1" s="1"/>
  <c r="J56" i="1" s="1"/>
  <c r="B46" i="1"/>
  <c r="J57" i="1" l="1"/>
  <c r="B56" i="1"/>
  <c r="J58" i="1" l="1"/>
  <c r="B57" i="1"/>
  <c r="J59" i="1" l="1"/>
  <c r="B58" i="1"/>
  <c r="J60" i="1" l="1"/>
  <c r="B59" i="1"/>
  <c r="J61" i="1" l="1"/>
  <c r="B60" i="1"/>
  <c r="J62" i="1" l="1"/>
  <c r="B61" i="1"/>
  <c r="J63" i="1" l="1"/>
  <c r="B62" i="1"/>
  <c r="J64" i="1" l="1"/>
  <c r="B63" i="1"/>
  <c r="J65" i="1" l="1"/>
  <c r="B64" i="1"/>
  <c r="J66" i="1" l="1"/>
  <c r="B65" i="1"/>
  <c r="J67" i="1" l="1"/>
  <c r="B66" i="1"/>
  <c r="J68" i="1" l="1"/>
  <c r="B67" i="1"/>
  <c r="J69" i="1" l="1"/>
  <c r="B68" i="1"/>
  <c r="J70" i="1" l="1"/>
  <c r="B69" i="1"/>
  <c r="J71" i="1" l="1"/>
  <c r="B70" i="1"/>
  <c r="J72" i="1" l="1"/>
  <c r="B71" i="1"/>
  <c r="J73" i="1" l="1"/>
  <c r="B72" i="1"/>
  <c r="J74" i="1" l="1"/>
  <c r="B73" i="1"/>
  <c r="J75" i="1" l="1"/>
  <c r="B74" i="1"/>
  <c r="J76" i="1" l="1"/>
  <c r="B75" i="1"/>
  <c r="J77" i="1" l="1"/>
  <c r="B76" i="1"/>
  <c r="J78" i="1" l="1"/>
  <c r="B77" i="1"/>
  <c r="J79" i="1" l="1"/>
  <c r="B78" i="1"/>
  <c r="J80" i="1" l="1"/>
  <c r="B79" i="1"/>
  <c r="J81" i="1" l="1"/>
  <c r="B80" i="1"/>
  <c r="J82" i="1" l="1"/>
  <c r="B81" i="1"/>
  <c r="J83" i="1" l="1"/>
  <c r="B82" i="1"/>
  <c r="J84" i="1" l="1"/>
  <c r="B83" i="1"/>
  <c r="J85" i="1" l="1"/>
  <c r="B84" i="1"/>
  <c r="J86" i="1" l="1"/>
  <c r="B85" i="1"/>
  <c r="J87" i="1" l="1"/>
  <c r="B86" i="1"/>
  <c r="J88" i="1" l="1"/>
  <c r="B87" i="1"/>
  <c r="J89" i="1" l="1"/>
  <c r="B88" i="1"/>
  <c r="J90" i="1" l="1"/>
  <c r="B89" i="1"/>
  <c r="J91" i="1" l="1"/>
  <c r="J92" i="1" s="1"/>
  <c r="J93" i="1" s="1"/>
  <c r="J94" i="1" s="1"/>
  <c r="J95" i="1" s="1"/>
  <c r="J96" i="1" s="1"/>
  <c r="J97" i="1" s="1"/>
  <c r="J98" i="1" s="1"/>
  <c r="J99" i="1" s="1"/>
  <c r="J100" i="1" s="1"/>
  <c r="B90" i="1"/>
  <c r="J101" i="1" l="1"/>
  <c r="B100" i="1"/>
  <c r="J102" i="1" l="1"/>
  <c r="B101" i="1"/>
  <c r="J103" i="1" l="1"/>
  <c r="B102" i="1"/>
  <c r="J104" i="1" l="1"/>
  <c r="B103" i="1"/>
  <c r="J105" i="1" l="1"/>
  <c r="B104" i="1"/>
  <c r="J106" i="1" l="1"/>
  <c r="B105" i="1"/>
  <c r="J107" i="1" l="1"/>
  <c r="B106" i="1"/>
  <c r="J108" i="1" l="1"/>
  <c r="B107" i="1"/>
  <c r="J109" i="1" l="1"/>
  <c r="B108" i="1"/>
  <c r="J110" i="1" l="1"/>
  <c r="B109" i="1"/>
  <c r="J111" i="1" l="1"/>
  <c r="B110" i="1"/>
  <c r="J112" i="1" l="1"/>
  <c r="B111" i="1"/>
  <c r="J113" i="1" l="1"/>
  <c r="B112" i="1"/>
  <c r="J114" i="1" l="1"/>
  <c r="B113" i="1"/>
  <c r="J115" i="1" l="1"/>
  <c r="B114" i="1"/>
  <c r="J116" i="1" l="1"/>
  <c r="B115" i="1"/>
  <c r="J117" i="1" l="1"/>
  <c r="B116" i="1"/>
  <c r="J118" i="1" l="1"/>
  <c r="B117" i="1"/>
  <c r="J119" i="1" l="1"/>
  <c r="B118" i="1"/>
  <c r="J120" i="1" l="1"/>
  <c r="B119" i="1"/>
  <c r="J121" i="1" l="1"/>
  <c r="B120" i="1"/>
  <c r="J122" i="1" l="1"/>
  <c r="B121" i="1"/>
  <c r="J123" i="1" l="1"/>
  <c r="B122" i="1"/>
  <c r="J124" i="1" l="1"/>
  <c r="B123" i="1"/>
  <c r="J125" i="1" l="1"/>
  <c r="B124" i="1"/>
  <c r="J126" i="1" l="1"/>
  <c r="B125" i="1"/>
  <c r="J127" i="1" l="1"/>
  <c r="B126" i="1"/>
  <c r="J128" i="1" l="1"/>
  <c r="B127" i="1"/>
  <c r="J129" i="1" l="1"/>
  <c r="B128" i="1"/>
  <c r="J130" i="1" l="1"/>
  <c r="B129" i="1"/>
  <c r="J131" i="1" l="1"/>
  <c r="B130" i="1"/>
  <c r="J132" i="1" l="1"/>
  <c r="B131" i="1"/>
  <c r="J133" i="1" l="1"/>
  <c r="B132" i="1"/>
  <c r="J134" i="1" l="1"/>
  <c r="B133" i="1"/>
  <c r="J135" i="1" l="1"/>
  <c r="J136" i="1" s="1"/>
  <c r="J137" i="1" s="1"/>
  <c r="J138" i="1" s="1"/>
  <c r="J139" i="1" s="1"/>
  <c r="J140" i="1" s="1"/>
  <c r="J141" i="1" s="1"/>
  <c r="J142" i="1" s="1"/>
  <c r="B134" i="1"/>
  <c r="J143" i="1" l="1"/>
  <c r="B142" i="1"/>
  <c r="J144" i="1" l="1"/>
  <c r="B143" i="1"/>
  <c r="J145" i="1" l="1"/>
  <c r="B144" i="1"/>
  <c r="J146" i="1" l="1"/>
  <c r="B145" i="1"/>
  <c r="J147" i="1" l="1"/>
  <c r="B146" i="1"/>
  <c r="J148" i="1" l="1"/>
  <c r="B147" i="1"/>
  <c r="J149" i="1" l="1"/>
  <c r="B148" i="1"/>
  <c r="J150" i="1" l="1"/>
  <c r="B149" i="1"/>
  <c r="J151" i="1" l="1"/>
  <c r="B150" i="1"/>
  <c r="J152" i="1" l="1"/>
  <c r="B151" i="1"/>
  <c r="J153" i="1" l="1"/>
  <c r="B152" i="1"/>
  <c r="J154" i="1" l="1"/>
  <c r="B153" i="1"/>
  <c r="J155" i="1" l="1"/>
  <c r="B154" i="1"/>
  <c r="J156" i="1" l="1"/>
  <c r="B155" i="1"/>
  <c r="J157" i="1" l="1"/>
  <c r="B156" i="1"/>
  <c r="J158" i="1" l="1"/>
  <c r="B157" i="1"/>
  <c r="J159" i="1" l="1"/>
  <c r="B158" i="1"/>
  <c r="J160" i="1" l="1"/>
  <c r="B159" i="1"/>
  <c r="J161" i="1" l="1"/>
  <c r="B160" i="1"/>
  <c r="J162" i="1" l="1"/>
  <c r="B161" i="1"/>
  <c r="J163" i="1" l="1"/>
  <c r="B162" i="1"/>
  <c r="J164" i="1" l="1"/>
  <c r="B163" i="1"/>
  <c r="J165" i="1" l="1"/>
  <c r="B164" i="1"/>
  <c r="J166" i="1" l="1"/>
  <c r="B165" i="1"/>
  <c r="J167" i="1" l="1"/>
  <c r="B166" i="1"/>
  <c r="J168" i="1" l="1"/>
  <c r="B167" i="1"/>
  <c r="J169" i="1" l="1"/>
  <c r="B168" i="1"/>
  <c r="J170" i="1" l="1"/>
  <c r="B169" i="1"/>
  <c r="J171" i="1" l="1"/>
  <c r="B170" i="1"/>
  <c r="J172" i="1" l="1"/>
  <c r="B171" i="1"/>
  <c r="J173" i="1" l="1"/>
  <c r="B172" i="1"/>
  <c r="J174" i="1" l="1"/>
  <c r="B173" i="1"/>
  <c r="J175" i="1" l="1"/>
  <c r="B174" i="1"/>
  <c r="J176" i="1" l="1"/>
  <c r="B175" i="1"/>
  <c r="J177" i="1" l="1"/>
  <c r="B176" i="1"/>
  <c r="J178" i="1" l="1"/>
  <c r="J179" i="1" s="1"/>
  <c r="J180" i="1" s="1"/>
  <c r="B177" i="1"/>
  <c r="J181" i="1" l="1"/>
  <c r="B180" i="1"/>
  <c r="J182" i="1" l="1"/>
  <c r="B181" i="1"/>
  <c r="J183" i="1" l="1"/>
  <c r="B182" i="1"/>
  <c r="J184" i="1" l="1"/>
  <c r="B183" i="1"/>
  <c r="J185" i="1" l="1"/>
  <c r="B184" i="1"/>
  <c r="J186" i="1" l="1"/>
  <c r="B185" i="1"/>
  <c r="J187" i="1" l="1"/>
  <c r="B186" i="1"/>
  <c r="J188" i="1" l="1"/>
  <c r="B187" i="1"/>
  <c r="J189" i="1" l="1"/>
  <c r="B188" i="1"/>
  <c r="J190" i="1" l="1"/>
  <c r="B189" i="1"/>
  <c r="J191" i="1" l="1"/>
  <c r="B190" i="1"/>
  <c r="J192" i="1" l="1"/>
  <c r="B191" i="1"/>
  <c r="J193" i="1" l="1"/>
  <c r="B192" i="1"/>
  <c r="J194" i="1" l="1"/>
  <c r="B193" i="1"/>
  <c r="J195" i="1" l="1"/>
  <c r="B194" i="1"/>
  <c r="J196" i="1" l="1"/>
  <c r="B195" i="1"/>
  <c r="J197" i="1" l="1"/>
  <c r="B196" i="1"/>
  <c r="J198" i="1" l="1"/>
  <c r="B197" i="1"/>
  <c r="J199" i="1" l="1"/>
  <c r="B198" i="1"/>
  <c r="J200" i="1" l="1"/>
  <c r="B199" i="1"/>
  <c r="J201" i="1" l="1"/>
  <c r="B200" i="1"/>
  <c r="J202" i="1" l="1"/>
  <c r="B201" i="1"/>
  <c r="J203" i="1" l="1"/>
  <c r="B202" i="1"/>
  <c r="J204" i="1" l="1"/>
  <c r="B203" i="1"/>
  <c r="J205" i="1" l="1"/>
  <c r="B204" i="1"/>
  <c r="J206" i="1" l="1"/>
  <c r="B205" i="1"/>
  <c r="J207" i="1" l="1"/>
  <c r="B206" i="1"/>
  <c r="J208" i="1" l="1"/>
  <c r="B207" i="1"/>
  <c r="J209" i="1" l="1"/>
  <c r="B208" i="1"/>
  <c r="J210" i="1" l="1"/>
  <c r="B209" i="1"/>
  <c r="J211" i="1" l="1"/>
  <c r="B210" i="1"/>
  <c r="J212" i="1" l="1"/>
  <c r="B211" i="1"/>
  <c r="J213" i="1" l="1"/>
  <c r="B212" i="1"/>
  <c r="J214" i="1" l="1"/>
  <c r="B213" i="1"/>
  <c r="J215" i="1" l="1"/>
  <c r="B215" i="1" s="1"/>
  <c r="B2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Eugenio Piliego</author>
    <author>Sebastian Zank</author>
  </authors>
  <commentList>
    <comment ref="N2" authorId="0" shapeId="0" xr:uid="{00000000-0006-0000-0000-000001000000}">
      <text>
        <r>
          <rPr>
            <sz val="11"/>
            <color theme="1"/>
            <rFont val="Inter"/>
            <family val="2"/>
            <scheme val="minor"/>
          </rPr>
          <t>Eugenio Piliego:
The two subsectors have different factors for market share and diversification</t>
        </r>
      </text>
    </comment>
    <comment ref="R2" authorId="1" shapeId="0" xr:uid="{00000000-0006-0000-0000-000002000000}">
      <text>
        <r>
          <rPr>
            <sz val="11"/>
            <color theme="1"/>
            <rFont val="Inter"/>
            <family val="2"/>
            <scheme val="minor"/>
          </rPr>
          <t>Sebastian Zank:
new granularity after the finalisation of the meth</t>
        </r>
      </text>
    </comment>
    <comment ref="U2" authorId="0" shapeId="0" xr:uid="{00000000-0006-0000-0000-000003000000}">
      <text>
        <r>
          <rPr>
            <sz val="11"/>
            <color theme="1"/>
            <rFont val="Inter"/>
            <family val="2"/>
            <scheme val="minor"/>
          </rPr>
          <t>Eugenio Piliego:
only specific factors considered</t>
        </r>
      </text>
    </comment>
    <comment ref="Y2" authorId="0" shapeId="0" xr:uid="{00000000-0006-0000-0000-000004000000}">
      <text>
        <r>
          <rPr>
            <sz val="11"/>
            <color theme="1"/>
            <rFont val="Inter"/>
            <family val="2"/>
            <scheme val="minor"/>
          </rPr>
          <t>Eugenio Piliego:
had to separate innovative pharma from generic as they have completely different matrixes</t>
        </r>
      </text>
    </comment>
    <comment ref="Y3" authorId="0" shapeId="0" xr:uid="{00000000-0006-0000-0000-000005000000}">
      <text>
        <r>
          <rPr>
            <sz val="11"/>
            <color theme="1"/>
            <rFont val="Inter"/>
            <family val="2"/>
            <scheme val="minor"/>
          </rPr>
          <t>Eugenio Piliego:
need to separate</t>
        </r>
      </text>
    </comment>
    <comment ref="W4" authorId="1" shapeId="0" xr:uid="{00000000-0006-0000-0000-000006000000}">
      <text>
        <r>
          <rPr>
            <sz val="11"/>
            <color theme="1"/>
            <rFont val="Inter"/>
            <family val="2"/>
            <scheme val="minor"/>
          </rPr>
          <t>Sebastian Zank:
new name after the finalisation of the meth
(Oil&amp;Gas: E&amp;P)</t>
        </r>
      </text>
    </comment>
    <comment ref="P5" authorId="0" shapeId="0" xr:uid="{00000000-0006-0000-0000-000007000000}">
      <text>
        <r>
          <rPr>
            <sz val="11"/>
            <color theme="1"/>
            <rFont val="Inter"/>
            <family val="2"/>
            <scheme val="minor"/>
          </rPr>
          <t>Eugenio Piliego:
replaced by non-discretionary</t>
        </r>
      </text>
    </comment>
    <comment ref="Y12" authorId="0" shapeId="0" xr:uid="{00000000-0006-0000-0000-000008000000}">
      <text>
        <r>
          <rPr>
            <sz val="11"/>
            <color theme="1"/>
            <rFont val="Inter"/>
            <family val="2"/>
            <scheme val="minor"/>
          </rPr>
          <t>Eugenio Piliego:
to check with author</t>
        </r>
      </text>
    </comment>
    <comment ref="Y19" authorId="0" shapeId="0" xr:uid="{00000000-0006-0000-0000-000009000000}">
      <text>
        <r>
          <rPr>
            <sz val="11"/>
            <color theme="1"/>
            <rFont val="Inter"/>
            <family val="2"/>
            <scheme val="minor"/>
          </rPr>
          <t>Eugenio Piliego:
to check with author</t>
        </r>
      </text>
    </comment>
    <comment ref="A142" authorId="0" shapeId="0" xr:uid="{00000000-0006-0000-0000-00000A000000}">
      <text>
        <r>
          <rPr>
            <sz val="11"/>
            <color theme="1"/>
            <rFont val="Inter"/>
            <family val="2"/>
            <scheme val="minor"/>
          </rPr>
          <t xml:space="preserve">Eugenio Piliego:
I inserted - please check if compliant
</t>
        </r>
      </text>
    </comment>
    <comment ref="A180" authorId="0" shapeId="0" xr:uid="{00000000-0006-0000-0000-00000B000000}">
      <text>
        <r>
          <rPr>
            <sz val="11"/>
            <color theme="1"/>
            <rFont val="Inter"/>
            <family val="2"/>
            <scheme val="minor"/>
          </rPr>
          <t xml:space="preserve">Eugenio Piliego:
I inserted - please check if compliant
</t>
        </r>
      </text>
    </comment>
    <comment ref="A218" authorId="0" shapeId="0" xr:uid="{00000000-0006-0000-0000-00000C000000}">
      <text>
        <r>
          <rPr>
            <sz val="11"/>
            <color theme="1"/>
            <rFont val="Inter"/>
            <family val="2"/>
            <scheme val="minor"/>
          </rPr>
          <t xml:space="preserve">Eugenio Piliego:
I inserted - please check if compliant
</t>
        </r>
      </text>
    </comment>
    <comment ref="A256" authorId="0" shapeId="0" xr:uid="{00000000-0006-0000-0000-00000D000000}">
      <text>
        <r>
          <rPr>
            <sz val="11"/>
            <color theme="1"/>
            <rFont val="Inter"/>
            <family val="2"/>
            <scheme val="minor"/>
          </rPr>
          <t xml:space="preserve">Eugenio Piliego:
I inserted - please check if compliant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Zank</author>
  </authors>
  <commentList>
    <comment ref="C3" authorId="0" shapeId="0" xr:uid="{00000000-0006-0000-0300-000001000000}">
      <text>
        <r>
          <rPr>
            <sz val="11"/>
            <color theme="1"/>
            <rFont val="Inter"/>
            <family val="2"/>
            <scheme val="minor"/>
          </rPr>
          <t>Pls choose the core sector
Hints: 
Business Services run under Industrial Goods and Services
Investment Holdings run under Financial Services
Software and IT Services run under Technology</t>
        </r>
      </text>
    </comment>
    <comment ref="C13" authorId="0" shapeId="0" xr:uid="{00000000-0006-0000-0300-000002000000}">
      <text>
        <r>
          <rPr>
            <sz val="11"/>
            <color theme="1"/>
            <rFont val="Inter"/>
            <family val="2"/>
            <scheme val="minor"/>
          </rPr>
          <t>Country names are aligned to country names used by Scope's SPS team</t>
        </r>
      </text>
    </comment>
  </commentList>
</comments>
</file>

<file path=xl/sharedStrings.xml><?xml version="1.0" encoding="utf-8"?>
<sst xmlns="http://schemas.openxmlformats.org/spreadsheetml/2006/main" count="1496" uniqueCount="943">
  <si>
    <t>Rated entity</t>
  </si>
  <si>
    <t>CorporateSector</t>
  </si>
  <si>
    <t>Rating methodologies applied</t>
  </si>
  <si>
    <t>General Corporate Rating Methodology</t>
  </si>
  <si>
    <t>Consumer Products Rating Methodology</t>
  </si>
  <si>
    <t>Industry risk</t>
  </si>
  <si>
    <t>Consumer Products: Non-Discretionary</t>
  </si>
  <si>
    <t>Industry risk score</t>
  </si>
  <si>
    <t>A</t>
  </si>
  <si>
    <t>Industry weight</t>
  </si>
  <si>
    <t>Segmentation criteria</t>
  </si>
  <si>
    <t>EBITDA contribution</t>
  </si>
  <si>
    <t>Reporting Currency/Units</t>
  </si>
  <si>
    <t>EUR</t>
  </si>
  <si>
    <t>Country of origin</t>
  </si>
  <si>
    <t>Federal Republic of Germany</t>
  </si>
  <si>
    <t>Accounting principles</t>
  </si>
  <si>
    <t>End of business year</t>
  </si>
  <si>
    <t>December</t>
  </si>
  <si>
    <t>Business risk profile</t>
  </si>
  <si>
    <t>B+</t>
  </si>
  <si>
    <t>(Blended) Industry risk profile</t>
  </si>
  <si>
    <t>Competitive Positioning</t>
  </si>
  <si>
    <t>Market share</t>
  </si>
  <si>
    <t>BB-</t>
  </si>
  <si>
    <t>Diversification</t>
  </si>
  <si>
    <t>Operating profitability</t>
  </si>
  <si>
    <t>Sector/company-specific factors (1)</t>
  </si>
  <si>
    <t>B-</t>
  </si>
  <si>
    <t>Sector/company-specific factors (2)</t>
  </si>
  <si>
    <t>Financial risk profile</t>
  </si>
  <si>
    <t>C</t>
  </si>
  <si>
    <t>Leverage</t>
  </si>
  <si>
    <t>CCC</t>
  </si>
  <si>
    <t>Interest cover</t>
  </si>
  <si>
    <t>Cash flow cover</t>
  </si>
  <si>
    <t>Liquidity</t>
  </si>
  <si>
    <t>-2 notches</t>
  </si>
  <si>
    <t>[Scope Credit Metrics]</t>
  </si>
  <si>
    <t>2025E</t>
  </si>
  <si>
    <t>2026E</t>
  </si>
  <si>
    <t>2027E</t>
  </si>
  <si>
    <t>Scope-adjusted EBITDA interest cover</t>
  </si>
  <si>
    <t>Locked</t>
  </si>
  <si>
    <t>Scope-adjusted debt/EBITDA</t>
  </si>
  <si>
    <t>Scope-adjusted FFO/debt</t>
  </si>
  <si>
    <t>Scope-adjusted loan/value</t>
  </si>
  <si>
    <t>No data</t>
  </si>
  <si>
    <t>Scope-adjusted FOCF/debt</t>
  </si>
  <si>
    <t>RatingMethodology1</t>
  </si>
  <si>
    <t>RatingMethodology2</t>
  </si>
  <si>
    <t>RatingMethodology3</t>
  </si>
  <si>
    <t>RatingMethodology4</t>
  </si>
  <si>
    <t>RatingMethodology5</t>
  </si>
  <si>
    <t>RatingMethodology6</t>
  </si>
  <si>
    <t>Centralised Repository</t>
  </si>
  <si>
    <t>Philipp</t>
  </si>
  <si>
    <t>Eugenio</t>
  </si>
  <si>
    <t>ENDE</t>
  </si>
  <si>
    <t>Other</t>
  </si>
  <si>
    <t>RatingScaleList</t>
  </si>
  <si>
    <t>Category rating</t>
  </si>
  <si>
    <t>Rating methodology</t>
  </si>
  <si>
    <t>Automotive and Commercial Vehicle Manufacturers Rating Methodology</t>
  </si>
  <si>
    <t>Chemicals Rating Methodology</t>
  </si>
  <si>
    <t>Construction and Construction Materials Rating Methodology</t>
  </si>
  <si>
    <t>European Automotive Suppliers Rating Methodology</t>
  </si>
  <si>
    <t>European Business and Consumer Services Rating Methodology</t>
  </si>
  <si>
    <t>European Real Estate Rating Methodology</t>
  </si>
  <si>
    <t>European Utilities Rating Methodology</t>
  </si>
  <si>
    <t>Investment Holding Companies Rating Methodology</t>
  </si>
  <si>
    <t>Metals and Mining Rating Methodology</t>
  </si>
  <si>
    <t>Oil and Gas Rating Methodology</t>
  </si>
  <si>
    <t>Pharmaceutical Companies’ Rating Methodology - Generic</t>
  </si>
  <si>
    <t>Pharmaceutical Companies’ Rating Methodology - Innovative</t>
  </si>
  <si>
    <t>Retail and Wholesale Rating Methodology</t>
  </si>
  <si>
    <t>Agribusiness</t>
  </si>
  <si>
    <t>AAA</t>
  </si>
  <si>
    <t>AA and above</t>
  </si>
  <si>
    <t>Chemicals: Commodity-focused chemical corporates</t>
  </si>
  <si>
    <t>Construction: Buildings and small civil engineering projects</t>
  </si>
  <si>
    <t>Consumer Products: Discretionary</t>
  </si>
  <si>
    <t>Real Estate: Commercial</t>
  </si>
  <si>
    <t>Utilities: Non-regulated power generation</t>
  </si>
  <si>
    <t>Oil&amp;Gas: Refining</t>
  </si>
  <si>
    <t>Healthcare: Generic pharmaceuticals</t>
  </si>
  <si>
    <t>Retail: Discretionary retail</t>
  </si>
  <si>
    <t>Capital Goods</t>
  </si>
  <si>
    <t>AA+</t>
  </si>
  <si>
    <t>Chemicals: Specialty chemical corporates</t>
  </si>
  <si>
    <t>Construction: Concessions</t>
  </si>
  <si>
    <t>Real Estate: Commercial development</t>
  </si>
  <si>
    <t>Oil&amp;Gas: Upstream</t>
  </si>
  <si>
    <t>Healthcare: Healthcare Services</t>
  </si>
  <si>
    <t>Retail: Non-discretionary retail</t>
  </si>
  <si>
    <t>Leisure and Entertainment</t>
  </si>
  <si>
    <t>AA</t>
  </si>
  <si>
    <t>Construction: Construction materials</t>
  </si>
  <si>
    <t>Consumer Products: Non-durable consumer products</t>
  </si>
  <si>
    <t>Real Estate: Homebuilding</t>
  </si>
  <si>
    <t>Utilities: Quasi-regulated activities</t>
  </si>
  <si>
    <t>Healthcare: Innovative pharmaceuticals</t>
  </si>
  <si>
    <t>Media</t>
  </si>
  <si>
    <t>AA-</t>
  </si>
  <si>
    <t>Construction: Infrastructure and civil engineering</t>
  </si>
  <si>
    <t>Real Estate: Multifamily</t>
  </si>
  <si>
    <t>Utilities: Regulated network/grid operators</t>
  </si>
  <si>
    <t>Healthcare: Medical Devices</t>
  </si>
  <si>
    <t>Postal Services: Letter Mail</t>
  </si>
  <si>
    <t>A+</t>
  </si>
  <si>
    <t>Utilities: Regulated power generation</t>
  </si>
  <si>
    <t>Postal Services: Parcels &amp; Express Logistics</t>
  </si>
  <si>
    <t>Utilities: Regulated water infrastructure</t>
  </si>
  <si>
    <t>Telecommunications</t>
  </si>
  <si>
    <t>A-</t>
  </si>
  <si>
    <t>Utilities: Trading activities (retail)</t>
  </si>
  <si>
    <t>Transportation: Airlines</t>
  </si>
  <si>
    <t>BBB+</t>
  </si>
  <si>
    <t>BBB</t>
  </si>
  <si>
    <t>Utilities: Trading activities (wholesale)</t>
  </si>
  <si>
    <t>Transportation: Airports</t>
  </si>
  <si>
    <t>[Market Share]</t>
  </si>
  <si>
    <t>Transportation: Ferries</t>
  </si>
  <si>
    <t>BBB-</t>
  </si>
  <si>
    <t>Factor 1</t>
  </si>
  <si>
    <t xml:space="preserve">Two-year change in market share (percentage points) </t>
  </si>
  <si>
    <t>Market position</t>
  </si>
  <si>
    <t xml:space="preserve">Revenue (EUR bn) </t>
  </si>
  <si>
    <t>Market positioning</t>
  </si>
  <si>
    <t>Scope-adjusted EBITDA (EUR m)</t>
  </si>
  <si>
    <t>Market dominance</t>
  </si>
  <si>
    <t>Market value of assets (EUR m)</t>
  </si>
  <si>
    <t>Turnover (EUR)</t>
  </si>
  <si>
    <t>Market position over all main activities</t>
  </si>
  <si>
    <t xml:space="preserve">Market position (% of sales) </t>
  </si>
  <si>
    <t>Market size</t>
  </si>
  <si>
    <t>Market position: Home market has ‘High’ CRS</t>
  </si>
  <si>
    <t>Transportation: Rail</t>
  </si>
  <si>
    <t>BB+</t>
  </si>
  <si>
    <t>BB</t>
  </si>
  <si>
    <t>&gt; 1.5</t>
  </si>
  <si>
    <t xml:space="preserve">Commodity: Very strong market position and/or market share over all upstream and downstream activities / 
Specialty: Very strong market position and/or market share
</t>
  </si>
  <si>
    <t>&gt; 18.0</t>
  </si>
  <si>
    <t>Global market leader positions</t>
  </si>
  <si>
    <t>&gt; 8,000</t>
  </si>
  <si>
    <t xml:space="preserve">Dominant global position </t>
  </si>
  <si>
    <t>&gt; 20,000</t>
  </si>
  <si>
    <t>National or regional monopoly</t>
  </si>
  <si>
    <t>n/a</t>
  </si>
  <si>
    <t>Very strong</t>
  </si>
  <si>
    <t>Global structure (market share &gt;10% in large key markets; revenue growth significantly above market)</t>
  </si>
  <si>
    <t>Large (&gt; USD 40bn)</t>
  </si>
  <si>
    <t>Strong market shares globally</t>
  </si>
  <si>
    <t>Transportation: Road transportation and logistics</t>
  </si>
  <si>
    <t>1.5 to 0.75</t>
  </si>
  <si>
    <t xml:space="preserve">Commodity: Strong market position and/or market share over all upstream and downstream activities / 
Specialty: Very strong market position and/or market share
</t>
  </si>
  <si>
    <t>9.0 to 18.0</t>
  </si>
  <si>
    <t>High international market shares (top three) in all product categories</t>
  </si>
  <si>
    <t>1,000 to 8,000</t>
  </si>
  <si>
    <t xml:space="preserve">Dominant international position </t>
  </si>
  <si>
    <t>10,000 to 20,000</t>
  </si>
  <si>
    <t>Strong position in service territory with little competition from existing or new market participants</t>
  </si>
  <si>
    <t>&gt; 10bn</t>
  </si>
  <si>
    <t>Strong</t>
  </si>
  <si>
    <t>International, sizeable market share (&gt;20%) in home market; some specialty exposure; revenue growth slightly above market</t>
  </si>
  <si>
    <t>Medium (USD 20 to 40bn)</t>
  </si>
  <si>
    <t xml:space="preserve">Strong position  with significant market shares beyond home market </t>
  </si>
  <si>
    <t>0.75 to 0</t>
  </si>
  <si>
    <t xml:space="preserve">Commodity: Good market position and/or market share over all upstream and downstream activities / 
Specialty: Good market position and/or market share
</t>
  </si>
  <si>
    <t>6.5 to 9.0</t>
  </si>
  <si>
    <t>Good international market shares (top 10) in most product categories</t>
  </si>
  <si>
    <t>600 to 1,000</t>
  </si>
  <si>
    <t xml:space="preserve">Good international position in most services categories (top-tier and mid-tier) </t>
  </si>
  <si>
    <t>2,000 to 10,000</t>
  </si>
  <si>
    <t>Good position in service territory with modest competition from existing or new market participants</t>
  </si>
  <si>
    <t>&gt; 1bn</t>
  </si>
  <si>
    <t>Good</t>
  </si>
  <si>
    <t>International, sizeable market share (10-20%) in home market; revenue growth in line with market</t>
  </si>
  <si>
    <t>Strong position</t>
  </si>
  <si>
    <t>B</t>
  </si>
  <si>
    <t>0 to -0.75</t>
  </si>
  <si>
    <t xml:space="preserve">Commodity: Moderate market position and/or market share over all upstream and downstream activities / 
Specialty: Moderate market position and/or market share
</t>
  </si>
  <si>
    <t>3.3 to 6.5</t>
  </si>
  <si>
    <t>High domestic market shares in most product categories</t>
  </si>
  <si>
    <t>150 to 600</t>
  </si>
  <si>
    <t xml:space="preserve">Moderate regional market shares; modest position in most service categories and/or high local market share </t>
  </si>
  <si>
    <t>500 to 2,000</t>
  </si>
  <si>
    <t>Modest position in service territory with significant competition from existing or new market participants</t>
  </si>
  <si>
    <t>&gt; 100m</t>
  </si>
  <si>
    <t>Moderate</t>
  </si>
  <si>
    <t>Main exposure to one country, sizeable market share (10-20%) in home market; revenue growth below market</t>
  </si>
  <si>
    <t>Medium position</t>
  </si>
  <si>
    <t>-0.75 to 1.5</t>
  </si>
  <si>
    <t xml:space="preserve">Commodity: Modest market position and/or market share over all upstream and downstream activities / 
Specialty: Modest market position and/or market share
</t>
  </si>
  <si>
    <t>0.1 to 3.3</t>
  </si>
  <si>
    <t>Low market shares in most product categories</t>
  </si>
  <si>
    <t>10 to 150</t>
  </si>
  <si>
    <t xml:space="preserve">Weak, mostly local position in most  service categories </t>
  </si>
  <si>
    <t>100 to 500</t>
  </si>
  <si>
    <t>Weak position in service territory with strong competition from existing or new market participants</t>
  </si>
  <si>
    <t>&lt; 100m</t>
  </si>
  <si>
    <t>Weak</t>
  </si>
  <si>
    <t>Smaller, regional exposure; no specialist position; revenue growth significantly below market</t>
  </si>
  <si>
    <t>Small (&lt; USD 20bn)</t>
  </si>
  <si>
    <t>Weak position</t>
  </si>
  <si>
    <t>CCC and below</t>
  </si>
  <si>
    <t>Decrease &gt; 1.5</t>
  </si>
  <si>
    <t xml:space="preserve">Commodity: Very modest market position and/or market share over all upstream and downstream activities / 
Specialty: Very modest market position and/or market share
</t>
  </si>
  <si>
    <t>&lt; 0.1</t>
  </si>
  <si>
    <t>Weak market shares in all product categories</t>
  </si>
  <si>
    <t>&lt; 10</t>
  </si>
  <si>
    <t>Very weak and deteriorating market share</t>
  </si>
  <si>
    <t>&lt; 100</t>
  </si>
  <si>
    <t>Very weak</t>
  </si>
  <si>
    <t>Factor 2</t>
  </si>
  <si>
    <t>Brand positioning</t>
  </si>
  <si>
    <t>Revenue (EUR) - (Commodity-focused)</t>
  </si>
  <si>
    <t xml:space="preserve">Scope-adjusted EBITDA (EUR bn) </t>
  </si>
  <si>
    <t>Size and pricing power</t>
  </si>
  <si>
    <t>Gross lettable area (sq m)</t>
  </si>
  <si>
    <t>Recurring electricity generation volumes (TWh)</t>
  </si>
  <si>
    <t>Oil and gas production, '000 boe/d</t>
  </si>
  <si>
    <t>Market position: Home market has ‘High-medium’ or 'Medium-low' CRS</t>
  </si>
  <si>
    <t>CC</t>
  </si>
  <si>
    <t xml:space="preserve">Outstanding brand positioning across entire portfolio </t>
  </si>
  <si>
    <t>&gt; 30bn</t>
  </si>
  <si>
    <t>&gt; 7.2</t>
  </si>
  <si>
    <t>Very large comparative size (revenue over EUR 25bn), very strong purchasing/ bargaining power and price-setting ability</t>
  </si>
  <si>
    <t xml:space="preserve">Dominant position in core product group </t>
  </si>
  <si>
    <t>Revenues of over EUR 5bn; very strong bargaining power and price-setting ability</t>
  </si>
  <si>
    <t>&gt; 10m</t>
  </si>
  <si>
    <t>&gt; 200</t>
  </si>
  <si>
    <t>&gt; 1,000</t>
  </si>
  <si>
    <t>&gt; 20%</t>
  </si>
  <si>
    <t>Strong positioning of (mainly premium) brands across entire portfolio</t>
  </si>
  <si>
    <t>1.8 to 7.2</t>
  </si>
  <si>
    <t>Large comparative size (revenue EUR 5bn-25bn), strong purchasing/ bargaining power and price-setting ability</t>
  </si>
  <si>
    <t xml:space="preserve">Revenues of EUR 2bn-5bn, strong bargaining power and price-setting ability </t>
  </si>
  <si>
    <t>5m to 10m</t>
  </si>
  <si>
    <t>100 to 200</t>
  </si>
  <si>
    <t>Top five global producer in chosen metals, market dominance</t>
  </si>
  <si>
    <t>500 to 1,000</t>
  </si>
  <si>
    <t>10 to 20%</t>
  </si>
  <si>
    <t>SD</t>
  </si>
  <si>
    <t>15 to 30bn</t>
  </si>
  <si>
    <t>1.0 to 1.8</t>
  </si>
  <si>
    <t>Medium-size company (revenue EUR 1bn-5bn), and/or good purchasing/ bargaining power</t>
  </si>
  <si>
    <t xml:space="preserve">Moderate position in core product group </t>
  </si>
  <si>
    <t xml:space="preserve">Revenues of EUR 1bn-2bn and/or good bargaining power </t>
  </si>
  <si>
    <t>1m to 5m</t>
  </si>
  <si>
    <t>10 to 100</t>
  </si>
  <si>
    <t>Top 20 global producer in chosen metals, or strong global niche market position or regional market dominance</t>
  </si>
  <si>
    <t xml:space="preserve">Strong position with significant market shares beyond home market </t>
  </si>
  <si>
    <t>D</t>
  </si>
  <si>
    <t xml:space="preserve">Average brand positioning across entire portfolio </t>
  </si>
  <si>
    <t>5 to 15bn</t>
  </si>
  <si>
    <t>0.25 to 1.0</t>
  </si>
  <si>
    <t>Below-average size (revenue EUR 250m-1bn), and/or adequate purchasing/bargaining power</t>
  </si>
  <si>
    <t>Modest position in core product group</t>
  </si>
  <si>
    <t xml:space="preserve">Revenues of EUR 250m-1bn and/or moderate bargaining power </t>
  </si>
  <si>
    <t>250,000 to 1m</t>
  </si>
  <si>
    <t>5 to 10</t>
  </si>
  <si>
    <t>Dominant local market position, or small player in global market</t>
  </si>
  <si>
    <t>50 to 100</t>
  </si>
  <si>
    <t>&lt; 10%</t>
  </si>
  <si>
    <t>&lt; 5bn</t>
  </si>
  <si>
    <t>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</si>
  <si>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</si>
  <si>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</si>
  <si>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</si>
  <si>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50,000 to 250,000</t>
  </si>
  <si>
    <t>&lt; 5</t>
  </si>
  <si>
    <t>Domestic/local player</t>
  </si>
  <si>
    <t>&lt; 50</t>
  </si>
  <si>
    <t xml:space="preserve">Weak brand positioning </t>
  </si>
  <si>
    <t>Negative</t>
  </si>
  <si>
    <t xml:space="preserve">Revenues of under EUR 50m, weak bargaining power and/or price follower </t>
  </si>
  <si>
    <t>&lt; 50,000</t>
  </si>
  <si>
    <t>&lt; 50 and rapidly declining production</t>
  </si>
  <si>
    <t>Factor 3</t>
  </si>
  <si>
    <t>R&amp;D activity - (Specialty)</t>
  </si>
  <si>
    <t>Scalability of services</t>
  </si>
  <si>
    <t>No. of apartments (residential)</t>
  </si>
  <si>
    <t>Position of power generation fleet in merit order system</t>
  </si>
  <si>
    <t>Product value-added</t>
  </si>
  <si>
    <t xml:space="preserve">Average reserve life, years </t>
  </si>
  <si>
    <t>Market position: Home market has ‘Low’ CRS</t>
  </si>
  <si>
    <t>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</si>
  <si>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</si>
  <si>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&gt; 300,000</t>
  </si>
  <si>
    <t>Very strong position</t>
  </si>
  <si>
    <t>&gt; 10</t>
  </si>
  <si>
    <t>Strong R&amp;D ratio and intellectual property 
portfolio</t>
  </si>
  <si>
    <t>150,000 to 300,000</t>
  </si>
  <si>
    <t>High share of specialised or high value-added alloyed or engineered products</t>
  </si>
  <si>
    <t>8 to 10</t>
  </si>
  <si>
    <t>Good R&amp;D ratio and intellectual property 
portfolio</t>
  </si>
  <si>
    <t xml:space="preserve">Highly scalable business across regions with moderate administrative entry barriers (digitalised services and/or mostly unspecialised workforce or operated by customer) </t>
  </si>
  <si>
    <t>30,000 to 150,000</t>
  </si>
  <si>
    <t>Good position</t>
  </si>
  <si>
    <t>6 to 8</t>
  </si>
  <si>
    <t>Moderate R&amp;D ratio and intellectual property 
portfolio</t>
  </si>
  <si>
    <t xml:space="preserve">Moderately scalable business across regions with some tenders/licences/a dministrative entry barriers (need for specialised workforce) </t>
  </si>
  <si>
    <t>7,500 to 30,000</t>
  </si>
  <si>
    <t>Modest position</t>
  </si>
  <si>
    <t>Basic commodity products or low value-added</t>
  </si>
  <si>
    <t>4 to 6</t>
  </si>
  <si>
    <t>Modest R&amp;D ratio and intellectual property 
portfolio</t>
  </si>
  <si>
    <t>Specialised/ customised businesses with local character and significant adjustments needed across regions to the service composition as well as limited scalability</t>
  </si>
  <si>
    <t>1,500 to 7,5000</t>
  </si>
  <si>
    <t>&lt; 4</t>
  </si>
  <si>
    <t>Very modest R&amp;D ratio and intellectual property 
portfolio</t>
  </si>
  <si>
    <t xml:space="preserve">High share of discontinued operations and/or not scalable service </t>
  </si>
  <si>
    <t>&lt; 1,500</t>
  </si>
  <si>
    <t>&lt; 4 and rapidly declining reserves</t>
  </si>
  <si>
    <t>Factor 4</t>
  </si>
  <si>
    <t>Maket share (%) in specific segments</t>
  </si>
  <si>
    <t>Structural aspects (growth prospects) of service territory</t>
  </si>
  <si>
    <t>Revenue stability and market access</t>
  </si>
  <si>
    <t>Refining capacity, '000 boe/d</t>
  </si>
  <si>
    <t>Sales (EUR bn)</t>
  </si>
  <si>
    <t>Dominant</t>
  </si>
  <si>
    <t>Very strong exposure to residential, commercial and industrial customers with largely hedged activities /
Economically growing service territory with many industrial and commercial customers and growing demographics</t>
  </si>
  <si>
    <t>&gt; 2,000</t>
  </si>
  <si>
    <t>&gt; 30</t>
  </si>
  <si>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</si>
  <si>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1,000 to 2,000</t>
  </si>
  <si>
    <t>30 to 15</t>
  </si>
  <si>
    <t>Well-diversified base of residential, commercial and industrial customers with largely hedged activities / Economically stable service territory and stable demographic developments</t>
  </si>
  <si>
    <t>200 to 1,000</t>
  </si>
  <si>
    <t xml:space="preserve"> 15 to 7.5</t>
  </si>
  <si>
    <t>Modest</t>
  </si>
  <si>
    <t>Customer mix biased towards commercial and industrial customers with largely hedged activities / 
Economically modest service territory and slightly declining demographic developments</t>
  </si>
  <si>
    <t>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</si>
  <si>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7.5 to 1.5</t>
  </si>
  <si>
    <t>Very modest</t>
  </si>
  <si>
    <t>Strong exposure to industrial customers without major hedging activities / 
Economically weak service territory with few commercial and industrial customers and continuously shrinking demographic developments</t>
  </si>
  <si>
    <t>1.5 to 0.1</t>
  </si>
  <si>
    <t>Factor 5</t>
  </si>
  <si>
    <t>Regulatory, legal and political risk</t>
  </si>
  <si>
    <t>Neutral: assets mostly located in low-risk regions/countries (for example, the European Union, the United States, Canada or Australia)</t>
  </si>
  <si>
    <t>Negative: assets located in high-risk countries/regions</t>
  </si>
  <si>
    <t>MarketShareFactor1Industry1</t>
  </si>
  <si>
    <t>MarketShareFactor1Industry2</t>
  </si>
  <si>
    <t>MarketShareFactor1Industry3</t>
  </si>
  <si>
    <t>MarketShareFactor1Industry4</t>
  </si>
  <si>
    <t>MarketShareFactor1Industry5</t>
  </si>
  <si>
    <t>MarketShareFactor1Industry6</t>
  </si>
  <si>
    <t>MarketShareFactor2Industry1</t>
  </si>
  <si>
    <t>MarketShareFactor2Industry2</t>
  </si>
  <si>
    <t>MarketShareFactor2Industry3</t>
  </si>
  <si>
    <t>MarketShareFactor2Industry4</t>
  </si>
  <si>
    <t>MarketShareFactor2Industry5</t>
  </si>
  <si>
    <t>MarketShareFactor2Industry6</t>
  </si>
  <si>
    <t>MarketShareFactor3Industry1</t>
  </si>
  <si>
    <t>MarketShareFactor3Industry2</t>
  </si>
  <si>
    <t>MarketShareFactor3Industry3</t>
  </si>
  <si>
    <t>MarketShareFactor3Industry4</t>
  </si>
  <si>
    <t>MarketShareFactor3Industry5</t>
  </si>
  <si>
    <t>MarketShareFactor3Industry6</t>
  </si>
  <si>
    <t>MarketShareFactor4Industry1</t>
  </si>
  <si>
    <t>MarketShareFactor4Industry2</t>
  </si>
  <si>
    <t>MarketShareFactor4Industry3</t>
  </si>
  <si>
    <t>MarketShareFactor4Industry4</t>
  </si>
  <si>
    <t>MarketShareFactor4Industry5</t>
  </si>
  <si>
    <t>MarketShareFactor4Industry6</t>
  </si>
  <si>
    <t>MarketShareFactor5Industry1</t>
  </si>
  <si>
    <t>MarketShareFactor5Industry2</t>
  </si>
  <si>
    <t>MarketShareFactor5Industry3</t>
  </si>
  <si>
    <t>MarketShareFactor5Industry4</t>
  </si>
  <si>
    <t>MarketShareFactor5Industry5</t>
  </si>
  <si>
    <t>MarketShareFactor5Industry6</t>
  </si>
  <si>
    <t>[Diversification]</t>
  </si>
  <si>
    <t xml:space="preserve">Geographical  </t>
  </si>
  <si>
    <t>Portfolio diversification - (Commodity-focused)</t>
  </si>
  <si>
    <t>Geographical diversification</t>
  </si>
  <si>
    <t>Geographical</t>
  </si>
  <si>
    <t xml:space="preserve">Geographical outreach </t>
  </si>
  <si>
    <t>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</si>
  <si>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</si>
  <si>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</si>
  <si>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</si>
  <si>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</si>
  <si>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</si>
  <si>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</si>
  <si>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Very strong geographical diversification across pan-European energy markets with little price correlation</t>
  </si>
  <si>
    <t>Global presence</t>
  </si>
  <si>
    <t>Reflects the global market</t>
  </si>
  <si>
    <t xml:space="preserve">Hybrid model with high percentage of sales generated via each channel </t>
  </si>
  <si>
    <t>Strong presence in at least three key markets</t>
  </si>
  <si>
    <t>Strong international presence; major player in different continents</t>
  </si>
  <si>
    <t>Strong geographical diversification across pan-European energy markets with little price correlation</t>
  </si>
  <si>
    <t>No single country accounting for more than one-third of earnings</t>
  </si>
  <si>
    <t>Significant presence in different regions</t>
  </si>
  <si>
    <t>Under-represented in the US or in Europe</t>
  </si>
  <si>
    <t xml:space="preserve">Solid presence in at least two key markets </t>
  </si>
  <si>
    <t xml:space="preserve">Global but unbalanced presence </t>
  </si>
  <si>
    <t>Adequate international presence; operating in many countries, regions and locations</t>
  </si>
  <si>
    <t>International presence; operating in many countries</t>
  </si>
  <si>
    <t xml:space="preserve">More than three regions; (inter)national presence </t>
  </si>
  <si>
    <t>Geographical diversification across different regional energy markets with little price correlation</t>
  </si>
  <si>
    <t>No single country accounting for more than half of earnings</t>
  </si>
  <si>
    <t>Significant presence in multiple countries</t>
  </si>
  <si>
    <t>No truly global exposure</t>
  </si>
  <si>
    <t xml:space="preserve">High sales via other distribution channels in addition to primary distribution channel </t>
  </si>
  <si>
    <t xml:space="preserve">Presence in at least one key market </t>
  </si>
  <si>
    <t>Overreliance on one region</t>
  </si>
  <si>
    <t>Moderate diversification by country, region and location</t>
  </si>
  <si>
    <t xml:space="preserve">Niche player with a (strong) presence in selected markets </t>
  </si>
  <si>
    <t xml:space="preserve">Limited diversification by countries </t>
  </si>
  <si>
    <t xml:space="preserve">More than one region; national presence </t>
  </si>
  <si>
    <t>Geographical diversification across different regional energy markets with significant price correlation</t>
  </si>
  <si>
    <t>Operations in more than one country, but high dependency on a single jurisdiction</t>
  </si>
  <si>
    <t>Operations concentrated in few countries</t>
  </si>
  <si>
    <t>Regional player; majority of sales in countries with weak patent protection</t>
  </si>
  <si>
    <t xml:space="preserve">Low sales via other distribution channels in addition to primary distribution channel </t>
  </si>
  <si>
    <t xml:space="preserve">Presence in one key market </t>
  </si>
  <si>
    <t>Operates in one region</t>
  </si>
  <si>
    <t xml:space="preserve">Low diversification by country, region and location </t>
  </si>
  <si>
    <t xml:space="preserve">Only national presence with low growth opportunities </t>
  </si>
  <si>
    <t xml:space="preserve">One region; national presence </t>
  </si>
  <si>
    <t>No geographical diversification across different energy markets with little price correlation</t>
  </si>
  <si>
    <t>Single country operator</t>
  </si>
  <si>
    <t>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</si>
  <si>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</si>
  <si>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</si>
  <si>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</si>
  <si>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</si>
  <si>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</si>
  <si>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Purely local player in a shrinking market</t>
  </si>
  <si>
    <t>Product Breadth</t>
  </si>
  <si>
    <t>Contribution of specialty chemicals to revenue - (Commodity-focused)</t>
  </si>
  <si>
    <t>Segment diversification</t>
  </si>
  <si>
    <t>Supplier and customer</t>
  </si>
  <si>
    <t>Product</t>
  </si>
  <si>
    <t>Customer granularity and supplier diversification</t>
  </si>
  <si>
    <t>Top 3 tenants (%)</t>
  </si>
  <si>
    <t>Horizontal diversification</t>
  </si>
  <si>
    <t>Product offering and end-markets</t>
  </si>
  <si>
    <t>Exposure to high-risk countries</t>
  </si>
  <si>
    <t>Product mix – treatment area exposure</t>
  </si>
  <si>
    <t>Top three products (% of pharma sales)</t>
  </si>
  <si>
    <t>Portfolio covering a majority of passenger car categories</t>
  </si>
  <si>
    <t>No segment with &gt; 30% of revenue/EBITDA</t>
  </si>
  <si>
    <t>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</si>
  <si>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</si>
  <si>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</si>
  <si>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&lt; 2.5</t>
  </si>
  <si>
    <t>Very strong business segmentation across a well-balanced mix of cyclical and non_x0002_cyclical activities with little or no exposure to chronically loss_x0002_making or very volatile utility segments</t>
  </si>
  <si>
    <t>Very low</t>
  </si>
  <si>
    <t>&gt; 8</t>
  </si>
  <si>
    <t>&lt; 20%</t>
  </si>
  <si>
    <t xml:space="preserve">No country with &gt; 30% of revenue </t>
  </si>
  <si>
    <t xml:space="preserve">No segment with &gt; 40% of revenue/EBITDA </t>
  </si>
  <si>
    <t xml:space="preserve">Variety of product groups combined with wide range of products </t>
  </si>
  <si>
    <t>Strong business segmentation across a well-balanced mix of cyclical and non cyclical activities with little or no exposure to chronically loss_x0002_making or very volatile utility segments</t>
  </si>
  <si>
    <t>Highly diversified product slate. No single metal or mineral accounts for more than one-third of earnings. High end-market diversity</t>
  </si>
  <si>
    <t>Low</t>
  </si>
  <si>
    <t>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</si>
  <si>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</si>
  <si>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</si>
  <si>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</si>
  <si>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Adequately diversified regarding number of customers and suppliers</t>
  </si>
  <si>
    <t xml:space="preserve">Variety of product groups combined with narrow range of products </t>
  </si>
  <si>
    <t xml:space="preserve">Good diversification regarding customers and suppliers4 </t>
  </si>
  <si>
    <t>&lt; 5.0</t>
  </si>
  <si>
    <t>Moderate business segmentation across different utilities segments with little exposure to chronically loss_x0002_making or very volatile utility segments</t>
  </si>
  <si>
    <t>Producer of several metals or minerals with different end-markets. No single metal accounts for more than half of earnings</t>
  </si>
  <si>
    <t>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</si>
  <si>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</si>
  <si>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</si>
  <si>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</si>
  <si>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</si>
  <si>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</si>
  <si>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Some dependence on certain customers and/or suppliers</t>
  </si>
  <si>
    <t>&lt; 10.0</t>
  </si>
  <si>
    <t>Modest business segmentation across different utilities segments with significant exposure to chronically loss_x0002_making or very volatile utility segments</t>
  </si>
  <si>
    <t>Producer of at least two metals or minerals with different end-markets</t>
  </si>
  <si>
    <t>2 to 4</t>
  </si>
  <si>
    <t>50 to 60%</t>
  </si>
  <si>
    <t xml:space="preserve">Operates in one country and its immediate neighbours </t>
  </si>
  <si>
    <t xml:space="preserve">Exposure to one segment and a few vehicle categories </t>
  </si>
  <si>
    <t>&gt; 70% of revenues/EBITDA from one segment</t>
  </si>
  <si>
    <t>Heavy dependence on single customer and/or supplier</t>
  </si>
  <si>
    <t xml:space="preserve">Single product group combined with narrow range of products </t>
  </si>
  <si>
    <t xml:space="preserve">Heavy dependence on single customer and/or supplier </t>
  </si>
  <si>
    <t>&lt; 20.0</t>
  </si>
  <si>
    <t>High exposure to chronically loss_x0002_making business segments</t>
  </si>
  <si>
    <t xml:space="preserve">Single metal/mineral producer or refiner </t>
  </si>
  <si>
    <t>High</t>
  </si>
  <si>
    <t>0 to 2</t>
  </si>
  <si>
    <t>&gt; 60%</t>
  </si>
  <si>
    <t xml:space="preserve">Active in one country </t>
  </si>
  <si>
    <t xml:space="preserve">&gt; 90% of revenues/EBITDA from one segment </t>
  </si>
  <si>
    <t xml:space="preserve">Loss of or high probability of losing main customer/ supplier </t>
  </si>
  <si>
    <t>&gt; 20.0</t>
  </si>
  <si>
    <t>Dominant exposure to a single high-risk country</t>
  </si>
  <si>
    <t>Product Depth</t>
  </si>
  <si>
    <t>End-market diversification - (Specialty)</t>
  </si>
  <si>
    <t xml:space="preserve">Customer diversification Top 10 (%) </t>
  </si>
  <si>
    <t>Product offering and mix</t>
  </si>
  <si>
    <t>Customer (top three in % of sales revenue)</t>
  </si>
  <si>
    <t xml:space="preserve">Service offering and crossselling potential </t>
  </si>
  <si>
    <t>Top 10 tenants (%)</t>
  </si>
  <si>
    <t>Vertical integration</t>
  </si>
  <si>
    <t>Assets</t>
  </si>
  <si>
    <t>Business mix</t>
  </si>
  <si>
    <t>Specialty drug exposure (incl biosimilars, % of 
sales)</t>
  </si>
  <si>
    <t>Top product (% of pharma sales)</t>
  </si>
  <si>
    <t>Product diversification</t>
  </si>
  <si>
    <t xml:space="preserve">Very comprehensive product offering </t>
  </si>
  <si>
    <t>Very strong diversification, improved/ stable end-market diversification</t>
  </si>
  <si>
    <t>Presence in numerous product categories (above 10);  high share of non-cyclical products</t>
  </si>
  <si>
    <t xml:space="preserve">Highly diversified service offering, large share of non-discretionary services and high cross-selling potential </t>
  </si>
  <si>
    <t>Reasonable vertical integration with sizeable customer base</t>
  </si>
  <si>
    <t>Very strong/balanced mix</t>
  </si>
  <si>
    <t>Large range of products sold across more than two consumer goods categories</t>
  </si>
  <si>
    <t xml:space="preserve">Products targeting a combination of premium, mid-price and entry level groups </t>
  </si>
  <si>
    <t>Strong diversification, improved/ stable end-market diversification</t>
  </si>
  <si>
    <t>No single mine or processing plant accounts for more than one-third of earnings</t>
  </si>
  <si>
    <t>Strong/largely balanced mix</t>
  </si>
  <si>
    <t>10 to 15%</t>
  </si>
  <si>
    <t>Good diversification, improved/ stable end-market diversification</t>
  </si>
  <si>
    <t>10 to 20</t>
  </si>
  <si>
    <t xml:space="preserve">Balanced presence in several product categories; predominance of non-cyclical products </t>
  </si>
  <si>
    <t>10 to 30</t>
  </si>
  <si>
    <t xml:space="preserve">Diversified service offering of nondiscretionary and discretionary services and high cross-selling potential </t>
  </si>
  <si>
    <t>No single mine or processing plant accounts for more than half of earnings</t>
  </si>
  <si>
    <t xml:space="preserve">Good/significant bias to the main segment </t>
  </si>
  <si>
    <t>5 to 10%</t>
  </si>
  <si>
    <t>15 to 30%</t>
  </si>
  <si>
    <t xml:space="preserve">Products sold across two consumer goods categories </t>
  </si>
  <si>
    <t xml:space="preserve">Products targeting mostly premium, mid-price and entry level groups </t>
  </si>
  <si>
    <t>Moderate diversification, stable/ worse end-market diversification</t>
  </si>
  <si>
    <t>20 to 50</t>
  </si>
  <si>
    <t>Presence in few product categories; predominance  of cyclical products</t>
  </si>
  <si>
    <t>30 to 50</t>
  </si>
  <si>
    <t xml:space="preserve">Less diversified service offering with predominately discretionary services and moderate crossselling potential </t>
  </si>
  <si>
    <t>&lt; 50.0</t>
  </si>
  <si>
    <t>No vertical integration with concentration on higher-risk non-regulated activities</t>
  </si>
  <si>
    <t>Multiple mines or processing plants, but with high dependency on a few assets</t>
  </si>
  <si>
    <t xml:space="preserve">Moderate/strong bias to the main segment </t>
  </si>
  <si>
    <t>0 to 5%</t>
  </si>
  <si>
    <t>30 to 40%</t>
  </si>
  <si>
    <t>Modest diversification, worse end-market diversification</t>
  </si>
  <si>
    <t>50 to 90</t>
  </si>
  <si>
    <t>Concentration in one product category</t>
  </si>
  <si>
    <t>50 to 75</t>
  </si>
  <si>
    <t>Highly concentrated service offering, primarily based on a single discretionary service and limited cross-selling potential</t>
  </si>
  <si>
    <t>&lt; 100.0</t>
  </si>
  <si>
    <t>Single mine or processing plant operator</t>
  </si>
  <si>
    <t>Weak/single or very dominant segment</t>
  </si>
  <si>
    <t>&gt; 40%</t>
  </si>
  <si>
    <t>Products sold belong to one consumer goods category deemed non-cyclical</t>
  </si>
  <si>
    <t>Very narrow product offering</t>
  </si>
  <si>
    <t>Very modest diversification, worse end-market diversification</t>
  </si>
  <si>
    <t>&gt; 90</t>
  </si>
  <si>
    <t>Single cyclical product category</t>
  </si>
  <si>
    <t>&gt; 75</t>
  </si>
  <si>
    <t>&lt; 10 tenants</t>
  </si>
  <si>
    <t xml:space="preserve">Products sold belong to one consumer goods category deemed cyclical </t>
  </si>
  <si>
    <t>Highly cyclical end-markets - (Specialty)</t>
  </si>
  <si>
    <t>Distribution network</t>
  </si>
  <si>
    <t>Quality of tenants</t>
  </si>
  <si>
    <t>Supplier and customer concentration</t>
  </si>
  <si>
    <t>Asset concentration/ dependence on a single asset</t>
  </si>
  <si>
    <t>Number of pipeline assets</t>
  </si>
  <si>
    <t>Number of treatment  areas</t>
  </si>
  <si>
    <t>Broadly diversified regarding number of well-established distribution channels</t>
  </si>
  <si>
    <t xml:space="preserve">Multiple well-established and robust distribution channels </t>
  </si>
  <si>
    <t>Very strongly diversified supplier and customer base</t>
  </si>
  <si>
    <t>&gt; 500</t>
  </si>
  <si>
    <t>&gt; 5</t>
  </si>
  <si>
    <t>Strongly diversified supplier and customer base</t>
  </si>
  <si>
    <t>350 to 500</t>
  </si>
  <si>
    <t>4 to 5</t>
  </si>
  <si>
    <t>20 to 40%</t>
  </si>
  <si>
    <t>Adequately diversified regarding number of well-established distribution channels</t>
  </si>
  <si>
    <t>Multiple distribution channels including thirdparty sales</t>
  </si>
  <si>
    <t>Modest dependence on single suppliers or customers</t>
  </si>
  <si>
    <t>200 to 350</t>
  </si>
  <si>
    <t>3 to 4</t>
  </si>
  <si>
    <t>40 to 70%</t>
  </si>
  <si>
    <t>Concentration on few distribution channels</t>
  </si>
  <si>
    <t>Concentrated distribution channels with low third-party sales</t>
  </si>
  <si>
    <t>Moderate dependence on single suppliers or customers</t>
  </si>
  <si>
    <t>2 to 3</t>
  </si>
  <si>
    <t>&gt; 70%</t>
  </si>
  <si>
    <t>Heavy dependency on a single distribution channel</t>
  </si>
  <si>
    <t xml:space="preserve">Single distribution channel6 </t>
  </si>
  <si>
    <t>High dependence on single suppliers or customers</t>
  </si>
  <si>
    <t>&lt; 2</t>
  </si>
  <si>
    <t>Dominant exposure to a single asset</t>
  </si>
  <si>
    <t>Tenants by industry (% of revenues)</t>
  </si>
  <si>
    <t>Asset/fuel concentration</t>
  </si>
  <si>
    <t>&lt; 15</t>
  </si>
  <si>
    <t>Very low dependency on specific fuel types or single assets</t>
  </si>
  <si>
    <t>Low dependency on specific fuel types or single assets</t>
  </si>
  <si>
    <t>&lt; 20</t>
  </si>
  <si>
    <t>Modest dependency on specific fuel types or single power plants</t>
  </si>
  <si>
    <t>&lt; 25</t>
  </si>
  <si>
    <t>Moderate concentration risks relating to specific fuel types and power generation assets</t>
  </si>
  <si>
    <t>High concentration risks relating to specific fuel types and power generation assets</t>
  </si>
  <si>
    <t>&gt; 50</t>
  </si>
  <si>
    <t>DiversificationFactor1Industry1</t>
  </si>
  <si>
    <t>DiversificationFactor1Industry2</t>
  </si>
  <si>
    <t>DiversificationFactor1Industry3</t>
  </si>
  <si>
    <t>DiversificationFactor1Industry4</t>
  </si>
  <si>
    <t>DiversificationFactor1Industry5</t>
  </si>
  <si>
    <t>DiversificationFactor1Industry6</t>
  </si>
  <si>
    <t>DiversificationFactor2Industry1</t>
  </si>
  <si>
    <t>DiversificationFactor2Industry2</t>
  </si>
  <si>
    <t>DiversificationFactor2Industry3</t>
  </si>
  <si>
    <t>DiversificationFactor2Industry4</t>
  </si>
  <si>
    <t>DiversificationFactor2Industry5</t>
  </si>
  <si>
    <t>DiversificationFactor2Industry6</t>
  </si>
  <si>
    <t>DiversificationFactor3Industry1</t>
  </si>
  <si>
    <t>DiversificationFactor3Industry2</t>
  </si>
  <si>
    <t>DiversificationFactor3Industry3</t>
  </si>
  <si>
    <t>DiversificationFactor3Industry4</t>
  </si>
  <si>
    <t>DiversificationFactor3Industry5</t>
  </si>
  <si>
    <t>DiversificationFactor3Industry6</t>
  </si>
  <si>
    <t>DiversificationFactor4Industry1</t>
  </si>
  <si>
    <t>DiversificationFactor4Industry2</t>
  </si>
  <si>
    <t>DiversificationFactor4Industry3</t>
  </si>
  <si>
    <t>DiversificationFactor4Industry4</t>
  </si>
  <si>
    <t>DiversificationFactor4Industry5</t>
  </si>
  <si>
    <t>DiversificationFactor4Industry6</t>
  </si>
  <si>
    <t>DiversificationFactor5Industry1</t>
  </si>
  <si>
    <t>DiversificationFactor5Industry2</t>
  </si>
  <si>
    <t>DiversificationFactor5Industry3</t>
  </si>
  <si>
    <t>DiversificationFactor5Industry4</t>
  </si>
  <si>
    <t>DiversificationFactor5Industry5</t>
  </si>
  <si>
    <t>DiversificationFactor5Industry6</t>
  </si>
  <si>
    <t>[Operating profitability]</t>
  </si>
  <si>
    <t>Scope-adjusted EBITDA margin (%)</t>
  </si>
  <si>
    <t>Scope-adjusted EBITDA margin</t>
  </si>
  <si>
    <t>EBITDA margin</t>
  </si>
  <si>
    <t>Volatility</t>
  </si>
  <si>
    <t>Scope-adjusted EBITDA margin Upstream/ midstream exposure</t>
  </si>
  <si>
    <t xml:space="preserve">EBITDA margin upstream (excluding trading) </t>
  </si>
  <si>
    <t>EBITDA margin (%)</t>
  </si>
  <si>
    <t>&gt; 16</t>
  </si>
  <si>
    <t>&gt; 30%</t>
  </si>
  <si>
    <t>&gt; 40</t>
  </si>
  <si>
    <t>&gt;30%</t>
  </si>
  <si>
    <t>&gt; 22</t>
  </si>
  <si>
    <t>&gt; 25%</t>
  </si>
  <si>
    <t>&gt; 35%</t>
  </si>
  <si>
    <t>12 to 16</t>
  </si>
  <si>
    <t>20 to 40</t>
  </si>
  <si>
    <t>20%-30%</t>
  </si>
  <si>
    <t>16 to 22</t>
  </si>
  <si>
    <t>22.5 to 30.0</t>
  </si>
  <si>
    <t>40 to 60%</t>
  </si>
  <si>
    <t>Mining &gt; 35%; Smelting and refining &gt;15%; Processing &gt; 10%; Distribution &gt;4%</t>
  </si>
  <si>
    <t>45 to 60%</t>
  </si>
  <si>
    <t>20 to 25%</t>
  </si>
  <si>
    <t>30 to 35%</t>
  </si>
  <si>
    <t>8 to 12</t>
  </si>
  <si>
    <t>15 to 20%</t>
  </si>
  <si>
    <t>14 to 20</t>
  </si>
  <si>
    <t>15%-20%</t>
  </si>
  <si>
    <t>15.0 to 22.5</t>
  </si>
  <si>
    <t>Medium</t>
  </si>
  <si>
    <t>25 to 40%</t>
  </si>
  <si>
    <t>Mining 25 to 35%; Smelting and refining 10 to 15%; Processing 7 to 10%; Distribution 3 to 4%</t>
  </si>
  <si>
    <t>30 to 45%</t>
  </si>
  <si>
    <t>25 to 30%</t>
  </si>
  <si>
    <t>5 to 8</t>
  </si>
  <si>
    <t>7 to 14</t>
  </si>
  <si>
    <t>5%-15%</t>
  </si>
  <si>
    <t>9 to 12</t>
  </si>
  <si>
    <t>7.5 to 15.0</t>
  </si>
  <si>
    <t>10 to 25%</t>
  </si>
  <si>
    <t>Mining 15 to 25%; Smelting and refining 6 to 10%; Processing 4 to 7%; Distribution 2 to 3%</t>
  </si>
  <si>
    <t>2 to 5</t>
  </si>
  <si>
    <t>0 to 7</t>
  </si>
  <si>
    <t>0%-5%</t>
  </si>
  <si>
    <t>2 to 8</t>
  </si>
  <si>
    <t>0 to 7.5</t>
  </si>
  <si>
    <t>Mining &lt; 15%; Smelting and refining &lt; 6%; Processing &lt; 4%; Distribution &lt; 2%</t>
  </si>
  <si>
    <t>1 to 4</t>
  </si>
  <si>
    <t>Scope-adjusted EBITDA insufficient to cover maintenance capex and interest expense</t>
  </si>
  <si>
    <t>Recurring EBITDA insufficient to cover maintenance capex and interest payments</t>
  </si>
  <si>
    <t>EBITDA insufficient to cover interest payments and maintenance capex</t>
  </si>
  <si>
    <t>&lt; 5%</t>
  </si>
  <si>
    <t>&lt; 1</t>
  </si>
  <si>
    <t>Backlog (years)</t>
  </si>
  <si>
    <t>Scope-adjusted return on capital epmloyed (%)</t>
  </si>
  <si>
    <t>Scope-adjusted EBITDA margin Downstream exposure</t>
  </si>
  <si>
    <t>EBITDA volatility</t>
  </si>
  <si>
    <t xml:space="preserve">EBITDA margin downstream (excluding trading) </t>
  </si>
  <si>
    <t>Scope-adjusted EBITDA return on assets</t>
  </si>
  <si>
    <t>Low to medium</t>
  </si>
  <si>
    <t>&gt; 24%</t>
  </si>
  <si>
    <t>&gt; 15%</t>
  </si>
  <si>
    <t>&gt; 45</t>
  </si>
  <si>
    <t>30 to 40</t>
  </si>
  <si>
    <t>75 to 90</t>
  </si>
  <si>
    <t>18 to 24%</t>
  </si>
  <si>
    <t>Below average</t>
  </si>
  <si>
    <t>35 to 45</t>
  </si>
  <si>
    <t>20 to 30</t>
  </si>
  <si>
    <t>60 to 75</t>
  </si>
  <si>
    <t>12 to 18%</t>
  </si>
  <si>
    <t>7 to 10%</t>
  </si>
  <si>
    <t>25 to 35</t>
  </si>
  <si>
    <t>Medium to high</t>
  </si>
  <si>
    <t>45 to 60</t>
  </si>
  <si>
    <t>6 to 12%</t>
  </si>
  <si>
    <t>Above average</t>
  </si>
  <si>
    <t>4 to 7%</t>
  </si>
  <si>
    <t>15 to 25</t>
  </si>
  <si>
    <t>1 to 2</t>
  </si>
  <si>
    <t>0 to 10</t>
  </si>
  <si>
    <t>30 to 45</t>
  </si>
  <si>
    <t>&lt; 6%</t>
  </si>
  <si>
    <t>&lt; 4%</t>
  </si>
  <si>
    <t>5 to 15</t>
  </si>
  <si>
    <t>&lt; 0</t>
  </si>
  <si>
    <t>&lt; 30</t>
  </si>
  <si>
    <t>Top 5%</t>
  </si>
  <si>
    <t>Levered IRR</t>
  </si>
  <si>
    <t>Volatility of group margin</t>
  </si>
  <si>
    <t>ROCE</t>
  </si>
  <si>
    <t>Scope-adjusted return on capital employed</t>
  </si>
  <si>
    <t>Very stable profitability patterns</t>
  </si>
  <si>
    <t>36 to 50</t>
  </si>
  <si>
    <t>&gt; 9%</t>
  </si>
  <si>
    <t>23 to 36</t>
  </si>
  <si>
    <t>Stable profitability patterns</t>
  </si>
  <si>
    <t>6 to 9%</t>
  </si>
  <si>
    <t>6 to 10%</t>
  </si>
  <si>
    <t>9 to 22</t>
  </si>
  <si>
    <t>Moderately volatile and non_x0002_controllable profitability patterns</t>
  </si>
  <si>
    <t>3 to 6%</t>
  </si>
  <si>
    <t>0 to 9</t>
  </si>
  <si>
    <t>Strongly volatile and non-controllable profitability patterns</t>
  </si>
  <si>
    <t>0 to 3%</t>
  </si>
  <si>
    <t>&lt;0%</t>
  </si>
  <si>
    <t>&lt; 0%</t>
  </si>
  <si>
    <t>Operating efficiency</t>
  </si>
  <si>
    <t>Neutral: modern plant and equipment, power stations, transportation infrastructure, etc; high standards in terms of efficiency, environmental footprint and health and safety; tried and tested mining 
and processing methods</t>
  </si>
  <si>
    <t>Negative: aged plant and equipment, power stations, transportation infrastructure, etc., which require significant investment to maintain adequate standards in terms of efficiency, environmental footprint and health and safety</t>
  </si>
  <si>
    <t>Very negative: plant and equipment at the end of their economic life</t>
  </si>
  <si>
    <t>Efficiency</t>
  </si>
  <si>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</si>
  <si>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</si>
  <si>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OperatingProfitabilityFactor1Industry1</t>
  </si>
  <si>
    <t>OperatingProfitabilityFactor1Industry2</t>
  </si>
  <si>
    <t>OperatingProfitabilityFactor1Industry3</t>
  </si>
  <si>
    <t>OperatingProfitabilityFactor1Industry4</t>
  </si>
  <si>
    <t>OperatingProfitabilityFactor1Industry5</t>
  </si>
  <si>
    <t>OperatingProfitabilityFactor1Industry6</t>
  </si>
  <si>
    <t>OperatingProfitabilityFactor2Industry1</t>
  </si>
  <si>
    <t>OperatingProfitabilityFactor2Industry2</t>
  </si>
  <si>
    <t>OperatingProfitabilityFactor2Industry3</t>
  </si>
  <si>
    <t>OperatingProfitabilityFactor2Industry4</t>
  </si>
  <si>
    <t>OperatingProfitabilityFactor2Industry5</t>
  </si>
  <si>
    <t>OperatingProfitabilityFactor2Industry6</t>
  </si>
  <si>
    <t>OperatingProfitabilityFactor3Industry1</t>
  </si>
  <si>
    <t>OperatingProfitabilityFactor3Industry2</t>
  </si>
  <si>
    <t>OperatingProfitabilityFactor3Industry3</t>
  </si>
  <si>
    <t>OperatingProfitabilityFactor3Industry4</t>
  </si>
  <si>
    <t>OperatingProfitabilityFactor3Industry5</t>
  </si>
  <si>
    <t>OperatingProfitabilityFactor3Industry6</t>
  </si>
  <si>
    <t>OperatingProfitabilityFactor4Industry1</t>
  </si>
  <si>
    <t>OperatingProfitabilityFactor4Industry2</t>
  </si>
  <si>
    <t>OperatingProfitabilityFactor4Industry3</t>
  </si>
  <si>
    <t>OperatingProfitabilityFactor4Industry4</t>
  </si>
  <si>
    <t>OperatingProfitabilityFactor4Industry5</t>
  </si>
  <si>
    <t>OperatingProfitabilityFactor4Industry6</t>
  </si>
  <si>
    <t>OperatingProfitabilityFactor5Industry1</t>
  </si>
  <si>
    <t>OperatingProfitabilityFactor5Industry2</t>
  </si>
  <si>
    <t>OperatingProfitabilityFactor5Industry3</t>
  </si>
  <si>
    <t>OperatingProfitabilityFactor5Industry4</t>
  </si>
  <si>
    <t>OperatingProfitabilityFactor5Industry5</t>
  </si>
  <si>
    <t>OperatingProfitabilityFactor5Industry6</t>
  </si>
  <si>
    <t>[Sector-specific factor 1]</t>
  </si>
  <si>
    <t>Brand strenght</t>
  </si>
  <si>
    <t>Innovativeness</t>
  </si>
  <si>
    <t>Service strength</t>
  </si>
  <si>
    <t>Asset quality</t>
  </si>
  <si>
    <t>Portfolio sustainability</t>
  </si>
  <si>
    <t>Cost and reserve position</t>
  </si>
  <si>
    <t>R&amp;D / Pipeline assessment</t>
  </si>
  <si>
    <t>Brand Value and Recognition</t>
  </si>
  <si>
    <t>Innovative power</t>
  </si>
  <si>
    <t xml:space="preserve">Brand strength and service quality </t>
  </si>
  <si>
    <t>Property location</t>
  </si>
  <si>
    <t>Number of Income-generating core holdings</t>
  </si>
  <si>
    <t>Position in cost curve</t>
  </si>
  <si>
    <t>R&amp;D to sales</t>
  </si>
  <si>
    <t xml:space="preserve">Portfolio of several globally well-known brands with a long tradition </t>
  </si>
  <si>
    <t>Very strong track record</t>
  </si>
  <si>
    <t xml:space="preserve">Globally/internationally well-known brand with high-quality attributes and sustainability of services </t>
  </si>
  <si>
    <t xml:space="preserve">Mainly 'A' locations </t>
  </si>
  <si>
    <t>&gt; 7</t>
  </si>
  <si>
    <t>Global brand and/or portfolio of international and long-established brands</t>
  </si>
  <si>
    <t>Strong track record</t>
  </si>
  <si>
    <t>First quartile</t>
  </si>
  <si>
    <t xml:space="preserve">International well-established brands </t>
  </si>
  <si>
    <t>Good track record</t>
  </si>
  <si>
    <t xml:space="preserve">Internationally/ regionally wellknown brand with good quality attributes and sustainability of services </t>
  </si>
  <si>
    <t xml:space="preserve">'A' locations and 'B' locations </t>
  </si>
  <si>
    <t>Second quartile</t>
  </si>
  <si>
    <t xml:space="preserve">Domestically well-known brands or still developing international brands  </t>
  </si>
  <si>
    <t>Moderate track record</t>
  </si>
  <si>
    <t xml:space="preserve">Domestic/ regionally known brand with moderate quality attributes and sustainability of services </t>
  </si>
  <si>
    <t xml:space="preserve">Mainly 'B' locations </t>
  </si>
  <si>
    <t>Upper third quartile</t>
  </si>
  <si>
    <t xml:space="preserve">Domestically known/regionally well-known brands </t>
  </si>
  <si>
    <t>Waek track record</t>
  </si>
  <si>
    <t xml:space="preserve">Low brand strength with basic service quality attributes and low sustainability of services </t>
  </si>
  <si>
    <t xml:space="preserve">'B' and 'C' locations </t>
  </si>
  <si>
    <t>Lower third or upper fourth quartile</t>
  </si>
  <si>
    <t>Domestically less-known brands (incl. third party producers)</t>
  </si>
  <si>
    <t>Very weak track record</t>
  </si>
  <si>
    <t>Negative brand perception or reputational issues</t>
  </si>
  <si>
    <t xml:space="preserve">Mainly 'C' locations </t>
  </si>
  <si>
    <t>Lower fourth quartile</t>
  </si>
  <si>
    <t>Brand Positioning</t>
  </si>
  <si>
    <t xml:space="preserve">Revenue stability and predictability </t>
  </si>
  <si>
    <t xml:space="preserve">Economic age (years) </t>
  </si>
  <si>
    <t>Income generating portfolio (% of GAV)</t>
  </si>
  <si>
    <t>Reserve life</t>
  </si>
  <si>
    <t>Number of NMEs phase 3</t>
  </si>
  <si>
    <t>Luxury brands;  scarce or hardly replaceable products</t>
  </si>
  <si>
    <t>Low customer churn rate with high share of recurring revenues and multiyear contract length with high switching costs</t>
  </si>
  <si>
    <t>&gt; 90%</t>
  </si>
  <si>
    <t>&gt; 14</t>
  </si>
  <si>
    <t xml:space="preserve">Premium segment, reflecting generally very high-quality attributes </t>
  </si>
  <si>
    <t>&lt; 6</t>
  </si>
  <si>
    <t>&gt; 20 years</t>
  </si>
  <si>
    <t>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</si>
  <si>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</si>
  <si>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</si>
  <si>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60 to 90%</t>
  </si>
  <si>
    <t>10 to 20 years</t>
  </si>
  <si>
    <t>6 to 9</t>
  </si>
  <si>
    <t>Mid-to-low end price levels, reflecting average quality attributes</t>
  </si>
  <si>
    <t>High churn rate with moderate recurring revenues and monthly subscription fee and usually cancellable contract with low switching cost</t>
  </si>
  <si>
    <t>10 to 15</t>
  </si>
  <si>
    <t>30 to 60%</t>
  </si>
  <si>
    <t>5 to 10 years</t>
  </si>
  <si>
    <t>3 to 5</t>
  </si>
  <si>
    <t xml:space="preserve">Low-end price level, generally linked to low quality attributes or easily replaceable products </t>
  </si>
  <si>
    <t xml:space="preserve">High churn rate with very low or no recurring revenues and no minimum subscription fee and no switching costs </t>
  </si>
  <si>
    <t>&lt; 30%</t>
  </si>
  <si>
    <t>2 to 5 years</t>
  </si>
  <si>
    <t xml:space="preserve">&lt;3 </t>
  </si>
  <si>
    <t>&gt; 25</t>
  </si>
  <si>
    <t>&lt; 2 years and low replacement ratio</t>
  </si>
  <si>
    <t>Sustainable growth</t>
  </si>
  <si>
    <t xml:space="preserve">Service integration </t>
  </si>
  <si>
    <t>Occupancy or  pre-letting rate (%)</t>
  </si>
  <si>
    <t>Income concentration - top core holding (%)</t>
  </si>
  <si>
    <t>Reserve quality</t>
  </si>
  <si>
    <t>100% patent expiry next 3 years</t>
  </si>
  <si>
    <t xml:space="preserve">Growth above reference market; high investments into brand/product  </t>
  </si>
  <si>
    <t>Critical business processes covered, mostly exclusively, with very high integration with the customer’s business</t>
  </si>
  <si>
    <t>&gt; 95</t>
  </si>
  <si>
    <t>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</si>
  <si>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</si>
  <si>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High integration in the customer’s business with several services, mostly on an exclusive basis</t>
  </si>
  <si>
    <t>90 to 95</t>
  </si>
  <si>
    <t xml:space="preserve">Growth aligned or slightly below reference market; moderate investments in brand/product </t>
  </si>
  <si>
    <t>Medium integration in the customer’s business with several services, mostly not on an exclusive basis</t>
  </si>
  <si>
    <t>80 to 90</t>
  </si>
  <si>
    <t>Mines are mostly deep underground and reserves are complex, not well understood and/or may require change in mining method and/or processing plant and equipment over time. Reserves are largely undeveloped.</t>
  </si>
  <si>
    <t>Growth below reference market, limited investments in brand/product</t>
  </si>
  <si>
    <t xml:space="preserve">Low or no integration in the customer’s business; rather commoditised service </t>
  </si>
  <si>
    <t>70 to 80</t>
  </si>
  <si>
    <t>&gt; 50%</t>
  </si>
  <si>
    <t>Heavily declining revenue trend; no investment in brand and/or negative public recognition</t>
  </si>
  <si>
    <t xml:space="preserve">Decreasing service level; commoditised service </t>
  </si>
  <si>
    <t>&lt; 70</t>
  </si>
  <si>
    <t>Very high cost and complex reserves</t>
  </si>
  <si>
    <t xml:space="preserve">WAULT (years) </t>
  </si>
  <si>
    <t>Income concentration - top three core holdings (%)</t>
  </si>
  <si>
    <t>Raw material supply</t>
  </si>
  <si>
    <t>Net effect of new product potential and patent expiry in percent of pharma sales</t>
  </si>
  <si>
    <t>&gt; 10.0</t>
  </si>
  <si>
    <t>&gt; 100%</t>
  </si>
  <si>
    <t>7.0 to 10.0</t>
  </si>
  <si>
    <t>Reliable and readily available feedstocks and other raw materials, including electricity, water, and chemicals. No over_x0002_dependency on any one supplier / 
Fully integrated from mining to refining and processing. Captive power supplies</t>
  </si>
  <si>
    <t>5.8 to 7.0</t>
  </si>
  <si>
    <t>50 to 70%</t>
  </si>
  <si>
    <t>Reliable and readily available feedstocks and other raw materials, including electricity, water, and chemicals. No over_x0002_dependency on any one supplier / 
Significant backward integration</t>
  </si>
  <si>
    <t>90 to 100%</t>
  </si>
  <si>
    <t>4.6 to 5.8</t>
  </si>
  <si>
    <t>70 to 90%</t>
  </si>
  <si>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</si>
  <si>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&lt; 4.6</t>
  </si>
  <si>
    <t>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</si>
  <si>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&lt; 70%</t>
  </si>
  <si>
    <t>Very high risk of disruption to critical feedstocks</t>
  </si>
  <si>
    <t xml:space="preserve">Pre-sale rate (%) </t>
  </si>
  <si>
    <t>&gt; 110</t>
  </si>
  <si>
    <t>100 to 110</t>
  </si>
  <si>
    <t>80 to 100</t>
  </si>
  <si>
    <t>&lt; 80</t>
  </si>
  <si>
    <t>[Sector-specific factor 2]</t>
  </si>
  <si>
    <t>Portfolio diversification</t>
  </si>
  <si>
    <t>Blockbusters</t>
  </si>
  <si>
    <t>Reflects global market</t>
  </si>
  <si>
    <t>&gt; 4</t>
  </si>
  <si>
    <t>More than one region</t>
  </si>
  <si>
    <t xml:space="preserve">One region </t>
  </si>
  <si>
    <t>One country</t>
  </si>
  <si>
    <t>Sector concentration (% of GAV)</t>
  </si>
  <si>
    <t>20 to 50%</t>
  </si>
  <si>
    <t>50 to 80%</t>
  </si>
  <si>
    <t>&gt; 80%</t>
  </si>
  <si>
    <t>GAV concentration - Top core holding (%)</t>
  </si>
  <si>
    <t>GAV concentration - Top three core holdings (%)</t>
  </si>
  <si>
    <t>20 to 35%</t>
  </si>
  <si>
    <t>35 to 50%</t>
  </si>
  <si>
    <t>Sector-specific factor 3</t>
  </si>
  <si>
    <t>Portfolio liquidity</t>
  </si>
  <si>
    <t>Listed portfolio (% of GAV)</t>
  </si>
  <si>
    <t>Ability to divest</t>
  </si>
  <si>
    <t>Unrestricted</t>
  </si>
  <si>
    <t>Limited</t>
  </si>
  <si>
    <t>Sector-specific factor 4</t>
  </si>
  <si>
    <t>Investment philosophy</t>
  </si>
  <si>
    <t>Portfolio value development</t>
  </si>
  <si>
    <t>Limited track record</t>
  </si>
  <si>
    <t>Investment policy</t>
  </si>
  <si>
    <t>Long-term investment horizon and/or defined exit strategy</t>
  </si>
  <si>
    <t>Medium investment horizon with defined portfolio rebalancing targets</t>
  </si>
  <si>
    <t>Automotive Suppliers</t>
  </si>
  <si>
    <t>Local GAAP</t>
  </si>
  <si>
    <t>Government Related Entities Rating Methodology</t>
  </si>
  <si>
    <t>Sharepoint URL for ListData and Business RiskProfiles</t>
  </si>
  <si>
    <t>https://scopegroup.sharepoint.com/sites/ScopeData/O%20%20Corporates/Database/Lists/Don't_Touch_List_Data_v2.xlsx</t>
  </si>
  <si>
    <t>Company identifier</t>
  </si>
  <si>
    <t>Technology</t>
  </si>
  <si>
    <t>Technology Services</t>
  </si>
  <si>
    <t>90%</t>
  </si>
  <si>
    <t>10%</t>
  </si>
  <si>
    <t>Luminary Software &amp; IT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</si>
</sst>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0\);\-"/>
    <numFmt numFmtId="165" formatCode="_-* #,##0_)_-;\-* \(#,##0\)_-;_-* &quot;-&quot;_)_-;_-@_-"/>
    <numFmt numFmtId="166" formatCode="_-* #,##0.00\ _€_-;\-* #,##0.00\ _€_-;_-* &quot;-&quot;??\ _€_-;_-@_-"/>
    <numFmt numFmtId="167" formatCode="&quot; &quot;* #,##0.00&quot; &quot;;&quot;-&quot;* #,##0.00&quot; &quot;;&quot; &quot;* &quot;-&quot;#&quot; &quot;;&quot; &quot;@&quot; &quot;"/>
    <numFmt numFmtId="168" formatCode="[$-809]d\ mmm/\ yy;@"/>
    <numFmt numFmtId="169" formatCode="_-* #,##0.00_-;\-* #,##0.00_-;_-* &quot;-&quot;??_-;_-@_-"/>
  </numFmts>
  <fonts count="22">
    <font>
      <sz val="11"/>
      <color theme="1"/>
      <name val="Inter"/>
      <family val="2"/>
      <scheme val="minor"/>
    </font>
    <font>
      <sz val="11"/>
      <color theme="1"/>
      <name val="Inter"/>
      <family val="2"/>
      <scheme val="minor"/>
    </font>
    <font>
      <sz val="10"/>
      <name val="Arial Narrow"/>
      <family val="2"/>
    </font>
    <font>
      <sz val="9"/>
      <color rgb="FF000000"/>
      <name val="Arial"/>
      <family val="2"/>
    </font>
    <font>
      <sz val="8"/>
      <color theme="1"/>
      <name val="Arial"/>
      <family val="2"/>
    </font>
    <font>
      <b/>
      <sz val="9"/>
      <color rgb="FFFFFFFF"/>
      <name val="Arial"/>
      <family val="2"/>
    </font>
    <font>
      <sz val="9"/>
      <color theme="1"/>
      <name val="Arial"/>
      <family val="2"/>
    </font>
    <font>
      <b/>
      <sz val="11"/>
      <color theme="1"/>
      <name val="Arial"/>
      <family val="2"/>
    </font>
    <font>
      <sz val="10"/>
      <name val="Arial"/>
      <family val="2"/>
    </font>
    <font>
      <b/>
      <sz val="11"/>
      <color theme="0"/>
      <name val="Arial"/>
      <family val="2"/>
    </font>
    <font>
      <sz val="11"/>
      <color theme="1"/>
      <name val="Arial"/>
      <family val="2"/>
    </font>
    <font>
      <i/>
      <sz val="11"/>
      <color theme="1" tint="0.499984740745262"/>
      <name val="Arial"/>
      <family val="2"/>
    </font>
    <font>
      <sz val="11"/>
      <color rgb="FF000000"/>
      <name val="Calibri"/>
      <family val="2"/>
    </font>
    <font>
      <sz val="10"/>
      <color rgb="FF000000"/>
      <name val="Arial"/>
      <family val="2"/>
    </font>
    <font>
      <i/>
      <sz val="8"/>
      <color theme="1"/>
      <name val="Arial"/>
      <family val="2"/>
    </font>
    <font>
      <b/>
      <sz val="8"/>
      <color theme="1"/>
      <name val="Arial"/>
      <family val="2"/>
    </font>
    <font>
      <b/>
      <sz val="8"/>
      <color rgb="FFFF0000"/>
      <name val="Arial"/>
      <family val="2"/>
    </font>
    <font>
      <u/>
      <sz val="11"/>
      <color theme="10"/>
      <name val="Inter"/>
      <family val="2"/>
      <scheme val="minor"/>
    </font>
    <font>
      <b/>
      <sz val="11"/>
      <color rgb="FFFF0000"/>
      <name val="Arial"/>
      <family val="2"/>
    </font>
    <font>
      <b/>
      <sz val="11"/>
      <name val="Arial"/>
      <family val="2"/>
    </font>
    <font>
      <i/>
      <sz val="10"/>
      <color theme="1"/>
      <name val="Inter"/>
      <scheme val="minor"/>
    </font>
    <font>
      <sz val="11"/>
      <name val="Aptos Narrow"/>
      <family val="2"/>
    </font>
  </fonts>
  <fills count="15">
    <fill>
      <patternFill patternType="none"/>
    </fill>
    <fill>
      <patternFill patternType="gray125"/>
    </fill>
    <fill>
      <patternFill patternType="solid">
        <fgColor rgb="FF80A6C7"/>
        <bgColor rgb="FF000000"/>
      </patternFill>
    </fill>
    <fill>
      <patternFill patternType="solid">
        <fgColor rgb="FF004D8F"/>
        <bgColor indexed="64"/>
      </patternFill>
    </fill>
    <fill>
      <patternFill patternType="solid">
        <fgColor theme="9" tint="0.79998168889431442"/>
        <bgColor indexed="64"/>
      </patternFill>
    </fill>
    <fill>
      <patternFill patternType="solid">
        <fgColor rgb="FFE6E7E8"/>
        <bgColor rgb="FF000000"/>
      </patternFill>
    </fill>
    <fill>
      <patternFill patternType="solid">
        <fgColor theme="0" tint="-4.9989318521683403E-2"/>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001469"/>
        <bgColor indexed="64"/>
      </patternFill>
    </fill>
    <fill>
      <patternFill patternType="solid">
        <fgColor rgb="FF001469"/>
        <bgColor rgb="FF000000"/>
      </patternFill>
    </fill>
    <fill>
      <patternFill patternType="solid">
        <fgColor rgb="FFFFFF00"/>
        <bgColor rgb="FF000000"/>
      </patternFill>
    </fill>
  </fills>
  <borders count="29">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4">
    <xf numFmtId="0" fontId="0" fillId="0" borderId="0"/>
    <xf numFmtId="9" fontId="1" fillId="0" borderId="0"/>
    <xf numFmtId="0" fontId="2" fillId="0" borderId="0">
      <alignment horizontal="left" vertical="top" wrapText="1"/>
    </xf>
    <xf numFmtId="165" fontId="2" fillId="0" borderId="0"/>
    <xf numFmtId="166" fontId="1" fillId="0" borderId="0"/>
    <xf numFmtId="0" fontId="8" fillId="0" borderId="0"/>
    <xf numFmtId="0" fontId="1" fillId="0" borderId="0"/>
    <xf numFmtId="0" fontId="12" fillId="0" borderId="0"/>
    <xf numFmtId="167" fontId="13" fillId="0" borderId="0"/>
    <xf numFmtId="0" fontId="1" fillId="0" borderId="0"/>
    <xf numFmtId="168" fontId="8" fillId="0" borderId="0"/>
    <xf numFmtId="169" fontId="1" fillId="0" borderId="0"/>
    <xf numFmtId="0" fontId="17" fillId="0" borderId="0"/>
    <xf numFmtId="0" fontId="21" fillId="0" borderId="0"/>
  </cellStyleXfs>
  <cellXfs count="73">
    <xf numFmtId="0" fontId="0" fillId="0" borderId="0" xfId="0"/>
    <xf numFmtId="0" fontId="10" fillId="0" borderId="0" xfId="0" applyFont="1"/>
    <xf numFmtId="0" fontId="10" fillId="6" borderId="0" xfId="0" applyFont="1" applyFill="1" applyAlignment="1">
      <alignment vertical="center"/>
    </xf>
    <xf numFmtId="0" fontId="10" fillId="6" borderId="0" xfId="0" applyFont="1" applyFill="1" applyAlignment="1">
      <alignment horizontal="center" vertical="center"/>
    </xf>
    <xf numFmtId="0" fontId="10" fillId="6" borderId="0" xfId="0" applyFont="1" applyFill="1"/>
    <xf numFmtId="0" fontId="11" fillId="6" borderId="0" xfId="0" applyFont="1" applyFill="1"/>
    <xf numFmtId="0" fontId="10" fillId="0" borderId="0" xfId="0" applyFont="1" applyAlignment="1">
      <alignment vertical="center"/>
    </xf>
    <xf numFmtId="0" fontId="10" fillId="0" borderId="0" xfId="0" applyFont="1" applyAlignment="1">
      <alignment horizontal="center" vertical="center"/>
    </xf>
    <xf numFmtId="0" fontId="4" fillId="0" borderId="21" xfId="0" applyFont="1" applyBorder="1" applyAlignment="1">
      <alignment horizontal="left" vertical="center"/>
    </xf>
    <xf numFmtId="0" fontId="6" fillId="6" borderId="0" xfId="0" applyFont="1" applyFill="1" applyProtection="1">
      <protection locked="0"/>
    </xf>
    <xf numFmtId="0" fontId="4" fillId="0" borderId="0" xfId="0" applyFont="1" applyAlignment="1">
      <alignment horizontal="left" vertical="center"/>
    </xf>
    <xf numFmtId="0" fontId="3" fillId="2" borderId="5" xfId="0" applyFont="1" applyFill="1" applyBorder="1" applyAlignment="1">
      <alignment vertical="center" wrapText="1"/>
    </xf>
    <xf numFmtId="0" fontId="4" fillId="0" borderId="0" xfId="0" applyFont="1" applyAlignment="1">
      <alignment vertical="center"/>
    </xf>
    <xf numFmtId="0" fontId="14" fillId="0" borderId="0" xfId="0" applyFont="1" applyAlignment="1">
      <alignment vertical="center"/>
    </xf>
    <xf numFmtId="0" fontId="15" fillId="0" borderId="0" xfId="0" applyFont="1" applyAlignment="1">
      <alignment vertical="center"/>
    </xf>
    <xf numFmtId="0" fontId="4" fillId="4" borderId="0" xfId="0" applyFont="1" applyFill="1" applyAlignment="1">
      <alignment vertical="center"/>
    </xf>
    <xf numFmtId="0" fontId="14" fillId="4" borderId="0" xfId="0" applyFont="1" applyFill="1" applyAlignment="1">
      <alignment vertical="center"/>
    </xf>
    <xf numFmtId="0" fontId="4" fillId="0" borderId="0" xfId="0" quotePrefix="1" applyFont="1" applyAlignment="1">
      <alignment vertical="center"/>
    </xf>
    <xf numFmtId="0" fontId="15" fillId="4" borderId="0" xfId="0" applyFont="1" applyFill="1" applyAlignment="1">
      <alignment vertical="center"/>
    </xf>
    <xf numFmtId="0" fontId="4" fillId="8" borderId="0" xfId="0" applyFont="1" applyFill="1" applyAlignment="1">
      <alignment horizontal="left" vertical="center"/>
    </xf>
    <xf numFmtId="0" fontId="16" fillId="0" borderId="0" xfId="0" applyFont="1" applyAlignment="1">
      <alignment vertical="center"/>
    </xf>
    <xf numFmtId="0" fontId="4" fillId="4" borderId="0" xfId="0" applyFont="1" applyFill="1" applyAlignment="1">
      <alignment vertical="center" wrapText="1"/>
    </xf>
    <xf numFmtId="0" fontId="4" fillId="0" borderId="0" xfId="0" applyFont="1" applyAlignment="1">
      <alignment vertical="center" wrapText="1"/>
    </xf>
    <xf numFmtId="0" fontId="4" fillId="0" borderId="0" xfId="0" applyFont="1" applyAlignment="1">
      <alignment vertical="top" wrapText="1"/>
    </xf>
    <xf numFmtId="0" fontId="4" fillId="0" borderId="0" xfId="0" applyFont="1" applyAlignment="1">
      <alignment vertical="top"/>
    </xf>
    <xf numFmtId="0" fontId="4" fillId="4" borderId="0" xfId="0" applyFont="1" applyFill="1" applyAlignment="1">
      <alignment vertical="top" wrapText="1"/>
    </xf>
    <xf numFmtId="9" fontId="4" fillId="0" borderId="0" xfId="0" applyNumberFormat="1" applyFont="1" applyAlignment="1">
      <alignment horizontal="left" vertical="center"/>
    </xf>
    <xf numFmtId="0" fontId="4" fillId="9" borderId="0" xfId="0" applyFont="1" applyFill="1" applyAlignment="1">
      <alignment horizontal="left" vertical="center"/>
    </xf>
    <xf numFmtId="0" fontId="3" fillId="2" borderId="7" xfId="0" applyFont="1" applyFill="1" applyBorder="1" applyAlignment="1">
      <alignment vertical="center" wrapText="1"/>
    </xf>
    <xf numFmtId="0" fontId="15" fillId="0" borderId="0" xfId="0" applyFont="1" applyAlignment="1">
      <alignment vertical="center" wrapText="1"/>
    </xf>
    <xf numFmtId="0" fontId="15" fillId="0" borderId="0" xfId="0" applyFont="1" applyAlignment="1">
      <alignment horizontal="left" vertical="center" wrapText="1"/>
    </xf>
    <xf numFmtId="0" fontId="15" fillId="0" borderId="3" xfId="0" applyFont="1" applyBorder="1" applyAlignment="1">
      <alignment vertical="center"/>
    </xf>
    <xf numFmtId="0" fontId="4" fillId="10" borderId="4" xfId="0" applyFont="1" applyFill="1" applyBorder="1" applyAlignment="1">
      <alignment vertical="center" wrapText="1"/>
    </xf>
    <xf numFmtId="0" fontId="0" fillId="11" borderId="0" xfId="0" applyFill="1"/>
    <xf numFmtId="0" fontId="17" fillId="0" borderId="0" xfId="12"/>
    <xf numFmtId="0" fontId="9" fillId="3" borderId="0" xfId="0" applyFont="1" applyFill="1" applyAlignment="1">
      <alignment horizontal="left" vertical="center"/>
    </xf>
    <xf numFmtId="0" fontId="18" fillId="6" borderId="0" xfId="0" applyFont="1" applyFill="1" applyAlignment="1">
      <alignment vertical="center"/>
    </xf>
    <xf numFmtId="0" fontId="5" fillId="13" borderId="1" xfId="0" applyFont="1" applyFill="1" applyBorder="1" applyAlignment="1">
      <alignment horizontal="right" vertical="center"/>
    </xf>
    <xf numFmtId="0" fontId="9" fillId="12" borderId="22" xfId="0" applyFont="1" applyFill="1" applyBorder="1" applyAlignment="1">
      <alignment horizontal="left" vertical="center"/>
    </xf>
    <xf numFmtId="0" fontId="9" fillId="12" borderId="23" xfId="0" applyFont="1" applyFill="1" applyBorder="1" applyAlignment="1">
      <alignment horizontal="left" vertical="center"/>
    </xf>
    <xf numFmtId="0" fontId="9" fillId="12" borderId="12" xfId="0" applyFont="1" applyFill="1" applyBorder="1" applyAlignment="1">
      <alignment vertical="center"/>
    </xf>
    <xf numFmtId="0" fontId="9" fillId="12" borderId="9" xfId="0" applyFont="1" applyFill="1" applyBorder="1" applyAlignment="1">
      <alignment horizontal="left" vertical="center"/>
    </xf>
    <xf numFmtId="0" fontId="9" fillId="12" borderId="9" xfId="0" applyFont="1" applyFill="1" applyBorder="1" applyAlignment="1">
      <alignment vertical="center"/>
    </xf>
    <xf numFmtId="0" fontId="19" fillId="7" borderId="10" xfId="0" applyFont="1" applyFill="1" applyBorder="1" applyAlignment="1">
      <alignment vertical="center"/>
    </xf>
    <xf numFmtId="0" fontId="19" fillId="7" borderId="11" xfId="0" applyFont="1" applyFill="1" applyBorder="1" applyAlignment="1">
      <alignment vertical="center"/>
    </xf>
    <xf numFmtId="0" fontId="19" fillId="7" borderId="9" xfId="0" applyFont="1" applyFill="1" applyBorder="1" applyAlignment="1">
      <alignment vertical="center"/>
    </xf>
    <xf numFmtId="0" fontId="19" fillId="7" borderId="8" xfId="0" applyFont="1" applyFill="1" applyBorder="1" applyAlignment="1">
      <alignment vertical="center"/>
    </xf>
    <xf numFmtId="0" fontId="19" fillId="7" borderId="24" xfId="0" applyFont="1" applyFill="1" applyBorder="1" applyAlignment="1">
      <alignment vertical="center"/>
    </xf>
    <xf numFmtId="0" fontId="5" fillId="13" borderId="2" xfId="0" applyFont="1" applyFill="1" applyBorder="1" applyAlignment="1">
      <alignment horizontal="left" vertical="center"/>
    </xf>
    <xf numFmtId="0" fontId="7" fillId="10" borderId="9" xfId="0" applyFont="1" applyFill="1" applyBorder="1" applyAlignment="1" applyProtection="1">
      <alignment horizontal="center" vertical="center" wrapText="1"/>
      <protection locked="0"/>
    </xf>
    <xf numFmtId="0" fontId="10" fillId="10" borderId="11" xfId="0" applyFont="1" applyFill="1" applyBorder="1" applyAlignment="1" applyProtection="1">
      <alignment horizontal="center" vertical="center"/>
      <protection locked="0"/>
    </xf>
    <xf numFmtId="0" fontId="10" fillId="10" borderId="13" xfId="0" applyFont="1" applyFill="1" applyBorder="1" applyAlignment="1">
      <alignment horizontal="center" vertical="center" wrapText="1"/>
    </xf>
    <xf numFmtId="0" fontId="10" fillId="10" borderId="14" xfId="0" applyFont="1" applyFill="1" applyBorder="1" applyAlignment="1" applyProtection="1">
      <alignment horizontal="center" vertical="center" wrapText="1"/>
      <protection locked="0"/>
    </xf>
    <xf numFmtId="0" fontId="10" fillId="10" borderId="15" xfId="0" applyFont="1" applyFill="1" applyBorder="1" applyAlignment="1" applyProtection="1">
      <alignment horizontal="center" vertical="center" wrapText="1"/>
      <protection locked="0"/>
    </xf>
    <xf numFmtId="0" fontId="10" fillId="10" borderId="16" xfId="0" applyFont="1" applyFill="1" applyBorder="1" applyAlignment="1" applyProtection="1">
      <alignment horizontal="center" vertical="center" wrapText="1"/>
      <protection locked="0"/>
    </xf>
    <xf numFmtId="0" fontId="10" fillId="10" borderId="17" xfId="0" applyFont="1" applyFill="1" applyBorder="1" applyAlignment="1" applyProtection="1">
      <alignment horizontal="center" vertical="center" wrapText="1"/>
      <protection locked="0"/>
    </xf>
    <xf numFmtId="0" fontId="10" fillId="10" borderId="18" xfId="0" applyFont="1" applyFill="1" applyBorder="1" applyAlignment="1" applyProtection="1">
      <alignment horizontal="center" vertical="center" wrapText="1"/>
      <protection locked="0"/>
    </xf>
    <xf numFmtId="9" fontId="10" fillId="10" borderId="20" xfId="1" applyFont="1" applyFill="1" applyBorder="1" applyAlignment="1" applyProtection="1">
      <alignment horizontal="center" vertical="center" wrapText="1"/>
      <protection locked="0"/>
    </xf>
    <xf numFmtId="0" fontId="10" fillId="10" borderId="12" xfId="0" applyFont="1" applyFill="1" applyBorder="1" applyAlignment="1" applyProtection="1">
      <alignment horizontal="center" vertical="center" wrapText="1"/>
      <protection locked="0"/>
    </xf>
    <xf numFmtId="0" fontId="6" fillId="10" borderId="10" xfId="0" applyFont="1" applyFill="1" applyBorder="1" applyAlignment="1" applyProtection="1">
      <alignment horizontal="center" vertical="center"/>
      <protection locked="0"/>
    </xf>
    <xf numFmtId="0" fontId="10" fillId="10" borderId="10" xfId="0" applyFont="1" applyFill="1" applyBorder="1" applyAlignment="1" applyProtection="1">
      <alignment horizontal="center" vertical="center"/>
      <protection locked="0"/>
    </xf>
    <xf numFmtId="0" fontId="7" fillId="10" borderId="9" xfId="0" applyFont="1" applyFill="1" applyBorder="1" applyAlignment="1" applyProtection="1">
      <alignment horizontal="center" vertical="center"/>
      <protection locked="0"/>
    </xf>
    <xf numFmtId="0" fontId="20" fillId="6" borderId="0" xfId="0" applyFont="1" applyFill="1"/>
    <xf numFmtId="0" fontId="20" fillId="6" borderId="0" xfId="0" applyFont="1" applyFill="1" applyProtection="1">
      <protection locked="0"/>
    </xf>
    <xf numFmtId="0" fontId="10" fillId="6" borderId="25" xfId="0" applyFont="1" applyFill="1" applyBorder="1" applyAlignment="1">
      <alignment horizontal="center" vertical="center" wrapText="1"/>
    </xf>
    <xf numFmtId="0" fontId="10" fillId="6" borderId="26" xfId="0" applyFont="1" applyFill="1" applyBorder="1" applyAlignment="1">
      <alignment horizontal="center" vertical="center" wrapText="1"/>
    </xf>
    <xf numFmtId="0" fontId="10" fillId="6" borderId="27" xfId="0" applyFont="1" applyFill="1" applyBorder="1" applyAlignment="1">
      <alignment horizontal="center" vertical="center" wrapText="1"/>
    </xf>
    <xf numFmtId="164" fontId="3" fillId="5" borderId="6" xfId="0" applyNumberFormat="1" applyFont="1" applyFill="1" applyBorder="1" applyAlignment="1">
      <alignment horizontal="right" vertical="center" wrapText="1"/>
    </xf>
    <xf numFmtId="164" fontId="18" fillId="14" borderId="6" xfId="0" applyNumberFormat="1" applyFont="1" applyFill="1" applyBorder="1" applyAlignment="1">
      <alignment horizontal="right" vertical="center" wrapText="1"/>
    </xf>
    <xf numFmtId="0" fontId="10" fillId="10" borderId="9" xfId="0" applyFont="1" applyFill="1" applyBorder="1" applyAlignment="1" applyProtection="1">
      <alignment horizontal="center" vertical="center" wrapText="1"/>
      <protection locked="0"/>
    </xf>
    <xf numFmtId="9" fontId="10" fillId="10" borderId="28" xfId="1" applyFont="1" applyFill="1" applyBorder="1" applyAlignment="1" applyProtection="1">
      <alignment horizontal="center" vertical="center" wrapText="1"/>
      <protection locked="0"/>
    </xf>
    <xf numFmtId="49" fontId="10" fillId="10" borderId="19" xfId="1" applyNumberFormat="1" applyFont="1" applyFill="1" applyBorder="1" applyAlignment="1" applyProtection="1">
      <alignment horizontal="center" vertical="center" wrapText="1"/>
      <protection locked="0"/>
    </xf>
    <xf numFmtId="49" fontId="10" fillId="10" borderId="20" xfId="1" applyNumberFormat="1" applyFont="1" applyFill="1" applyBorder="1" applyAlignment="1" applyProtection="1">
      <alignment horizontal="center" vertical="center" wrapText="1"/>
      <protection locked="0"/>
    </xf>
  </cellXfs>
  <cellStyles count="14">
    <cellStyle name="Comma 2" xfId="4" xr:uid="{00000000-0005-0000-0000-000004000000}"/>
    <cellStyle name="Comma 3" xfId="11" xr:uid="{00000000-0005-0000-0000-00000B000000}"/>
    <cellStyle name="Comma 9" xfId="8" xr:uid="{00000000-0005-0000-0000-000008000000}"/>
    <cellStyle name="EYtext" xfId="2" xr:uid="{00000000-0005-0000-0000-000002000000}"/>
    <cellStyle name="Hyperlink" xfId="12" builtinId="8"/>
    <cellStyle name="Normal" xfId="0" builtinId="0"/>
    <cellStyle name="Normal 11" xfId="7" xr:uid="{00000000-0005-0000-0000-000007000000}"/>
    <cellStyle name="Normal 12" xfId="9" xr:uid="{00000000-0005-0000-0000-000009000000}"/>
    <cellStyle name="Normal 2" xfId="3" xr:uid="{00000000-0005-0000-0000-000003000000}"/>
    <cellStyle name="Normal 3" xfId="10" xr:uid="{00000000-0005-0000-0000-00000A000000}"/>
    <cellStyle name="Normal 6" xfId="13" xr:uid="{00000000-0005-0000-0000-00000D000000}"/>
    <cellStyle name="Per cent" xfId="1" builtinId="5"/>
    <cellStyle name="Standard 3 2" xfId="6" xr:uid="{00000000-0005-0000-0000-000006000000}"/>
    <cellStyle name="Standard_Kopie von Bilanz-Rating 31 07 03"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10</xdr:col>
      <xdr:colOff>508000</xdr:colOff>
      <xdr:row>2</xdr:row>
      <xdr:rowOff>190500</xdr:rowOff>
    </xdr:from>
    <xdr:to>
      <xdr:col>13</xdr:col>
      <xdr:colOff>0</xdr:colOff>
      <xdr:row>4</xdr:row>
      <xdr:rowOff>838200</xdr:rowOff>
    </xdr:to>
    <xdr:pic>
      <xdr:nvPicPr>
        <xdr:cNvPr id="7169" name="CommandButton1">
          <a:extLst>
            <a:ext uri="{FF2B5EF4-FFF2-40B4-BE49-F238E27FC236}">
              <a16:creationId xmlns:a16="http://schemas.microsoft.com/office/drawing/2014/main" id="{C450D744-62EE-8FA0-C24C-A9715F898D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50500" y="914400"/>
          <a:ext cx="1295400" cy="1028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13</xdr:col>
      <xdr:colOff>139700</xdr:colOff>
      <xdr:row>1</xdr:row>
      <xdr:rowOff>406400</xdr:rowOff>
    </xdr:from>
    <xdr:to>
      <xdr:col>15</xdr:col>
      <xdr:colOff>0</xdr:colOff>
      <xdr:row>3</xdr:row>
      <xdr:rowOff>139700</xdr:rowOff>
    </xdr:to>
    <xdr:pic>
      <xdr:nvPicPr>
        <xdr:cNvPr id="7170" name="CommandButton2">
          <a:extLst>
            <a:ext uri="{FF2B5EF4-FFF2-40B4-BE49-F238E27FC236}">
              <a16:creationId xmlns:a16="http://schemas.microsoft.com/office/drawing/2014/main" id="{C97624BD-F7BF-073E-7D8B-ADFE51632C6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785600" y="723900"/>
          <a:ext cx="11303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hyperlink" Target="../../../../../../../../../../../../../../../../../../../../../../../../../../../../../../../../../../../../../../../../../../../../../../../../../../../../../../../../../../../../../../../../../../../../../../../../../../../../../../../../../../../../../../../../../../../../../../../../../../../../../../../../../../../../../../../../../../../../../../../../../../../../../../../../../../../../../../../../../../../../../../../../../../../../../../../../../../../../../../../../../../../../../../../../../../../../../../../../../../../../../../../../../../../../../../../../../../../../../../../../../../../../../../../../../../../../../../../../../../../../../../../../../../../../../../../../../../../../../../../../../../../../../../../../../../../../../../../../../../../../../../../../../../../../../../../../../../../../../../../../../../../../../../../../../../../../../../../../../../../../../../../../../../../../../../../../../../../../../../../../../../../../../../../../../../../../../../../../../../../../../../../../../../../../../../../../../../../../../../../../../../../../../../../../../../../../../../../../../../../../../../../../../../../../../../../../../../../../../../../../../../../../../../../../../../../../../../../../../../../../../../../../../../../../../../../../../../../../../../../../../../../../../../../../../../../../../../../../../../../../../../../../../../../../../../../../../../../../../../../../../../../../../../../../../../../../../../../../../../../../../../../../../../../../../../../../../../../../../../../../../../../../../../../../../../../../../../../../../../../../../../../../../../../../../../../../../../../../../../../../../../../../../../../../../../../../../../../../../../../../../../../../../../../../../../../../../../../../../../../../../../../../../../../../../../../../../../../../../../../../../../../../../../../../../../../../../../../../../../../../../../../../../../../../../../../../../../../../../../../../../../../../../../../../../../../../../../../../../../Database/Lists/Don%27t_Touch_List_Data_v2.xlsx"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baseColWidth="10" defaultColWidth="9.1640625" defaultRowHeight="11" outlineLevelCol="1"/>
  <cols>
    <col min="1" max="1" width="14.1640625" style="12" customWidth="1"/>
    <col min="2" max="8" width="20.6640625" style="12" customWidth="1"/>
    <col min="9" max="9" width="9.1640625" style="12" customWidth="1"/>
    <col min="10" max="10" width="9.1640625" style="12" customWidth="1" outlineLevel="1"/>
    <col min="11" max="11" width="11.33203125" style="12" customWidth="1"/>
    <col min="12" max="12" width="12" style="12" customWidth="1"/>
    <col min="13" max="26" width="35.6640625" style="12" customWidth="1"/>
    <col min="27" max="27" width="9.1640625" style="12" customWidth="1"/>
    <col min="28" max="16384" width="9.1640625" style="12"/>
  </cols>
  <sheetData>
    <row r="1" spans="1:100">
      <c r="B1" s="31" t="s">
        <v>49</v>
      </c>
      <c r="C1" s="31" t="s">
        <v>50</v>
      </c>
      <c r="D1" s="31" t="s">
        <v>51</v>
      </c>
      <c r="E1" s="31" t="s">
        <v>52</v>
      </c>
      <c r="F1" s="31" t="s">
        <v>53</v>
      </c>
      <c r="G1" s="31" t="s">
        <v>54</v>
      </c>
      <c r="K1" s="20" t="s">
        <v>55</v>
      </c>
      <c r="M1" s="12" t="s">
        <v>56</v>
      </c>
      <c r="N1" s="12" t="s">
        <v>57</v>
      </c>
      <c r="O1" s="12" t="s">
        <v>56</v>
      </c>
      <c r="P1" s="12" t="s">
        <v>57</v>
      </c>
      <c r="Q1" s="12" t="s">
        <v>56</v>
      </c>
      <c r="R1" s="12" t="s">
        <v>56</v>
      </c>
      <c r="S1" s="12" t="s">
        <v>56</v>
      </c>
      <c r="T1" s="12" t="s">
        <v>57</v>
      </c>
      <c r="U1" s="12" t="s">
        <v>57</v>
      </c>
      <c r="V1" s="12" t="s">
        <v>57</v>
      </c>
      <c r="W1" s="12" t="s">
        <v>57</v>
      </c>
      <c r="X1" s="12" t="s">
        <v>57</v>
      </c>
      <c r="Y1" s="12" t="s">
        <v>57</v>
      </c>
      <c r="Z1" s="12" t="s">
        <v>56</v>
      </c>
      <c r="BL1" s="12" t="s">
        <v>58</v>
      </c>
      <c r="BQ1" s="12" t="s">
        <v>59</v>
      </c>
      <c r="CU1" s="12" t="s">
        <v>60</v>
      </c>
      <c r="CV1" s="12" t="s">
        <v>61</v>
      </c>
    </row>
    <row r="2" spans="1:100" ht="22.5" customHeight="1">
      <c r="B2" s="32" t="e">
        <f t="array" ref="B2">+MASTER!Methodology2</f>
        <v>#NAME?</v>
      </c>
      <c r="C2" s="32" t="e">
        <f t="array" ref="C2">+MASTER!Methodology3</f>
        <v>#NAME?</v>
      </c>
      <c r="D2" s="32" t="e">
        <f t="array" ref="D2">+MASTER!Methodology4</f>
        <v>#NAME?</v>
      </c>
      <c r="E2" s="32" t="e">
        <f t="array" ref="E2">+MASTER!Methodology5</f>
        <v>#NAME?</v>
      </c>
      <c r="F2" s="32" t="e">
        <f t="array" ref="F2">+MASTER!Methodology6</f>
        <v>#NAME?</v>
      </c>
      <c r="G2" s="32" t="e">
        <f t="array" ref="G2">+MASTER!Methodology7</f>
        <v>#NAME?</v>
      </c>
      <c r="J2" s="13">
        <v>1</v>
      </c>
      <c r="K2" s="14" t="s">
        <v>62</v>
      </c>
      <c r="M2" s="29" t="s">
        <v>63</v>
      </c>
      <c r="N2" s="29" t="s">
        <v>64</v>
      </c>
      <c r="O2" s="29" t="s">
        <v>65</v>
      </c>
      <c r="P2" s="29" t="s">
        <v>4</v>
      </c>
      <c r="Q2" s="29" t="s">
        <v>66</v>
      </c>
      <c r="R2" s="29" t="s">
        <v>67</v>
      </c>
      <c r="S2" s="29" t="s">
        <v>68</v>
      </c>
      <c r="T2" s="29" t="s">
        <v>69</v>
      </c>
      <c r="U2" s="29" t="s">
        <v>70</v>
      </c>
      <c r="V2" s="30" t="s">
        <v>71</v>
      </c>
      <c r="W2" s="29" t="s">
        <v>72</v>
      </c>
      <c r="X2" s="29" t="s">
        <v>73</v>
      </c>
      <c r="Y2" s="29" t="s">
        <v>74</v>
      </c>
      <c r="Z2" s="29" t="s">
        <v>75</v>
      </c>
      <c r="BQ2" s="8" t="s">
        <v>76</v>
      </c>
      <c r="CU2" s="12" t="s">
        <v>77</v>
      </c>
      <c r="CV2" s="12" t="s">
        <v>78</v>
      </c>
    </row>
    <row r="3" spans="1:100">
      <c r="J3" s="13">
        <f t="shared" ref="J3:J66" si="0">+J2+1</f>
        <v>2</v>
      </c>
      <c r="N3" s="10" t="s">
        <v>79</v>
      </c>
      <c r="O3" s="10" t="s">
        <v>80</v>
      </c>
      <c r="P3" s="10" t="s">
        <v>81</v>
      </c>
      <c r="S3" s="12" t="s">
        <v>82</v>
      </c>
      <c r="T3" s="10" t="s">
        <v>83</v>
      </c>
      <c r="U3" s="10"/>
      <c r="W3" s="10" t="s">
        <v>84</v>
      </c>
      <c r="X3" s="10" t="s">
        <v>85</v>
      </c>
      <c r="Y3" s="19" t="s">
        <v>85</v>
      </c>
      <c r="Z3" s="12" t="s">
        <v>86</v>
      </c>
      <c r="BQ3" s="8" t="s">
        <v>87</v>
      </c>
      <c r="CU3" s="12" t="s">
        <v>88</v>
      </c>
      <c r="CV3" s="12" t="s">
        <v>78</v>
      </c>
    </row>
    <row r="4" spans="1:100">
      <c r="J4" s="13">
        <f t="shared" si="0"/>
        <v>3</v>
      </c>
      <c r="N4" s="10" t="s">
        <v>89</v>
      </c>
      <c r="O4" s="10" t="s">
        <v>90</v>
      </c>
      <c r="P4" s="10" t="s">
        <v>6</v>
      </c>
      <c r="S4" s="12" t="s">
        <v>91</v>
      </c>
      <c r="T4" s="10" t="s">
        <v>83</v>
      </c>
      <c r="U4" s="10"/>
      <c r="W4" s="19" t="s">
        <v>92</v>
      </c>
      <c r="X4" s="10"/>
      <c r="Y4" s="27" t="s">
        <v>93</v>
      </c>
      <c r="Z4" s="12" t="s">
        <v>94</v>
      </c>
      <c r="BQ4" s="8" t="s">
        <v>95</v>
      </c>
      <c r="CU4" s="12" t="s">
        <v>96</v>
      </c>
      <c r="CV4" s="12" t="s">
        <v>78</v>
      </c>
    </row>
    <row r="5" spans="1:100">
      <c r="J5" s="13">
        <f t="shared" si="0"/>
        <v>4</v>
      </c>
      <c r="O5" s="10" t="s">
        <v>97</v>
      </c>
      <c r="P5" s="19" t="s">
        <v>98</v>
      </c>
      <c r="S5" s="12" t="s">
        <v>99</v>
      </c>
      <c r="T5" s="10" t="s">
        <v>100</v>
      </c>
      <c r="U5" s="10"/>
      <c r="X5" s="10"/>
      <c r="Y5" s="10" t="s">
        <v>101</v>
      </c>
      <c r="BQ5" s="8" t="s">
        <v>102</v>
      </c>
      <c r="CU5" s="12" t="s">
        <v>103</v>
      </c>
      <c r="CV5" s="12" t="s">
        <v>78</v>
      </c>
    </row>
    <row r="6" spans="1:100">
      <c r="J6" s="13">
        <f t="shared" si="0"/>
        <v>5</v>
      </c>
      <c r="O6" s="10" t="s">
        <v>104</v>
      </c>
      <c r="S6" s="12" t="s">
        <v>105</v>
      </c>
      <c r="T6" s="10" t="s">
        <v>106</v>
      </c>
      <c r="U6" s="10"/>
      <c r="X6" s="10"/>
      <c r="Y6" s="27" t="s">
        <v>107</v>
      </c>
      <c r="BQ6" s="8" t="s">
        <v>108</v>
      </c>
      <c r="CU6" s="12" t="s">
        <v>109</v>
      </c>
      <c r="CV6" s="12" t="s">
        <v>8</v>
      </c>
    </row>
    <row r="7" spans="1:100">
      <c r="J7" s="13">
        <f t="shared" si="0"/>
        <v>6</v>
      </c>
      <c r="T7" s="10" t="s">
        <v>110</v>
      </c>
      <c r="BQ7" s="8" t="s">
        <v>111</v>
      </c>
      <c r="CU7" s="12" t="s">
        <v>8</v>
      </c>
      <c r="CV7" s="12" t="s">
        <v>8</v>
      </c>
    </row>
    <row r="8" spans="1:100">
      <c r="J8" s="13">
        <f t="shared" si="0"/>
        <v>7</v>
      </c>
      <c r="T8" s="10" t="s">
        <v>112</v>
      </c>
      <c r="BQ8" s="8" t="s">
        <v>113</v>
      </c>
      <c r="CU8" s="12" t="s">
        <v>114</v>
      </c>
      <c r="CV8" s="12" t="s">
        <v>8</v>
      </c>
    </row>
    <row r="9" spans="1:100">
      <c r="J9" s="13">
        <f t="shared" si="0"/>
        <v>8</v>
      </c>
      <c r="T9" s="10" t="s">
        <v>115</v>
      </c>
      <c r="BQ9" s="8" t="s">
        <v>116</v>
      </c>
      <c r="CU9" s="12" t="s">
        <v>117</v>
      </c>
      <c r="CV9" s="12" t="s">
        <v>118</v>
      </c>
    </row>
    <row r="10" spans="1:100">
      <c r="J10" s="13">
        <f t="shared" si="0"/>
        <v>9</v>
      </c>
      <c r="T10" s="10" t="s">
        <v>119</v>
      </c>
      <c r="BQ10" s="8" t="s">
        <v>120</v>
      </c>
      <c r="CU10" s="12" t="s">
        <v>118</v>
      </c>
      <c r="CV10" s="12" t="s">
        <v>118</v>
      </c>
    </row>
    <row r="11" spans="1:100" ht="15" customHeight="1">
      <c r="A11" s="20" t="s">
        <v>121</v>
      </c>
      <c r="J11" s="13">
        <f t="shared" si="0"/>
        <v>10</v>
      </c>
      <c r="K11" s="14" t="s">
        <v>23</v>
      </c>
      <c r="BQ11" s="8" t="s">
        <v>122</v>
      </c>
      <c r="CU11" s="12" t="s">
        <v>123</v>
      </c>
      <c r="CV11" s="12" t="s">
        <v>118</v>
      </c>
    </row>
    <row r="12" spans="1:100" s="15" customFormat="1" ht="15" customHeight="1">
      <c r="A12" s="18" t="str">
        <f>+K12</f>
        <v>Factor 1</v>
      </c>
      <c r="B12" s="18" t="str">
        <f>IF(IFERROR(HLOOKUP(B$2,$M$2:$BL12,$J12,FALSE),"")="","",IFERROR(HLOOKUP(B$2,$M$2:$BL12,$J12,FALSE),""))</f>
        <v/>
      </c>
      <c r="C12" s="18" t="str">
        <f>IF(IFERROR(HLOOKUP(C$2,$M$2:$BL12,$J12,FALSE),"")="","",IFERROR(HLOOKUP(C$2,$M$2:$BL12,$J12,FALSE),""))</f>
        <v/>
      </c>
      <c r="D12" s="18" t="str">
        <f>IF(IFERROR(HLOOKUP(D$2,$M$2:$BL12,$J12,FALSE),"")="","",IFERROR(HLOOKUP(D$2,$M$2:$BL12,$J12,FALSE),""))</f>
        <v/>
      </c>
      <c r="E12" s="18" t="str">
        <f>IF(IFERROR(HLOOKUP(E$2,$M$2:$BL12,$J12,FALSE),"")="","",IFERROR(HLOOKUP(E$2,$M$2:$BL12,$J12,FALSE),""))</f>
        <v/>
      </c>
      <c r="F12" s="18" t="str">
        <f>IF(IFERROR(HLOOKUP(F$2,$M$2:$BL12,$J12,FALSE),"")="","",IFERROR(HLOOKUP(F$2,$M$2:$BL12,$J12,FALSE),""))</f>
        <v/>
      </c>
      <c r="G12" s="18" t="str">
        <f>IF(IFERROR(HLOOKUP(G$2,$M$2:$BL12,$J12,FALSE),"")="","",IFERROR(HLOOKUP(G$2,$M$2:$BL12,$J12,FALSE),""))</f>
        <v/>
      </c>
      <c r="H12" s="18"/>
      <c r="J12" s="16">
        <f t="shared" si="0"/>
        <v>11</v>
      </c>
      <c r="K12" s="15" t="s">
        <v>124</v>
      </c>
      <c r="M12" s="15" t="s">
        <v>125</v>
      </c>
      <c r="N12" s="15" t="s">
        <v>126</v>
      </c>
      <c r="O12" s="15" t="s">
        <v>127</v>
      </c>
      <c r="P12" s="15" t="s">
        <v>128</v>
      </c>
      <c r="Q12" s="15" t="s">
        <v>129</v>
      </c>
      <c r="R12" s="15" t="s">
        <v>130</v>
      </c>
      <c r="S12" s="15" t="s">
        <v>131</v>
      </c>
      <c r="T12" s="21" t="s">
        <v>130</v>
      </c>
      <c r="V12" s="15" t="s">
        <v>132</v>
      </c>
      <c r="W12" s="15" t="s">
        <v>133</v>
      </c>
      <c r="X12" s="15" t="s">
        <v>134</v>
      </c>
      <c r="Y12" s="15" t="s">
        <v>135</v>
      </c>
      <c r="Z12" s="15" t="s">
        <v>136</v>
      </c>
      <c r="BQ12" s="8" t="s">
        <v>137</v>
      </c>
      <c r="CU12" s="15" t="s">
        <v>138</v>
      </c>
      <c r="CV12" s="15" t="s">
        <v>139</v>
      </c>
    </row>
    <row r="13" spans="1:100" ht="15" customHeight="1">
      <c r="A13" s="12" t="str">
        <f t="shared" ref="A13:A18" si="1">+L13</f>
        <v>AA and above</v>
      </c>
      <c r="B13" s="12" t="str">
        <f>IF(IFERROR(HLOOKUP(B$2,$M$2:$BL13,$J13,FALSE),"")="","",IFERROR(HLOOKUP(B$2,$M$2:$BL13,$J13,FALSE),""))</f>
        <v/>
      </c>
      <c r="C13" s="12" t="str">
        <f>IF(IFERROR(HLOOKUP(C$2,$M$2:$BL13,$J13,FALSE),"")="","",IFERROR(HLOOKUP(C$2,$M$2:$BL13,$J13,FALSE),""))</f>
        <v/>
      </c>
      <c r="D13" s="12" t="str">
        <f>IF(IFERROR(HLOOKUP(D$2,$M$2:$BL13,$J13,FALSE),"")="","",IFERROR(HLOOKUP(D$2,$M$2:$BL13,$J13,FALSE),""))</f>
        <v/>
      </c>
      <c r="E13" s="12" t="str">
        <f>IF(IFERROR(HLOOKUP(E$2,$M$2:$BL13,$J13,FALSE),"")="","",IFERROR(HLOOKUP(E$2,$M$2:$BL13,$J13,FALSE),""))</f>
        <v/>
      </c>
      <c r="F13" s="12" t="str">
        <f>IF(IFERROR(HLOOKUP(F$2,$M$2:$BL13,$J13,FALSE),"")="","",IFERROR(HLOOKUP(F$2,$M$2:$BL13,$J13,FALSE),""))</f>
        <v/>
      </c>
      <c r="G13" s="12" t="str">
        <f>IF(IFERROR(HLOOKUP(G$2,$M$2:$BL13,$J13,FALSE),"")="","",IFERROR(HLOOKUP(G$2,$M$2:$BL13,$J13,FALSE),""))</f>
        <v/>
      </c>
      <c r="J13" s="13">
        <f t="shared" si="0"/>
        <v>12</v>
      </c>
      <c r="L13" s="12" t="s">
        <v>78</v>
      </c>
      <c r="M13" s="17" t="s">
        <v>140</v>
      </c>
      <c r="N13" s="23" t="s">
        <v>141</v>
      </c>
      <c r="O13" s="12" t="s">
        <v>142</v>
      </c>
      <c r="P13" s="12" t="s">
        <v>143</v>
      </c>
      <c r="Q13" s="12" t="s">
        <v>144</v>
      </c>
      <c r="R13" s="12" t="s">
        <v>145</v>
      </c>
      <c r="S13" s="17" t="s">
        <v>146</v>
      </c>
      <c r="T13" s="12" t="s">
        <v>147</v>
      </c>
      <c r="V13" s="12" t="s">
        <v>148</v>
      </c>
      <c r="W13" s="12" t="s">
        <v>149</v>
      </c>
      <c r="X13" s="12" t="s">
        <v>150</v>
      </c>
      <c r="Y13" s="12" t="s">
        <v>151</v>
      </c>
      <c r="Z13" s="12" t="s">
        <v>152</v>
      </c>
      <c r="AA13" s="17"/>
      <c r="BQ13" s="8" t="s">
        <v>153</v>
      </c>
      <c r="CU13" s="12" t="s">
        <v>139</v>
      </c>
      <c r="CV13" s="12" t="s">
        <v>139</v>
      </c>
    </row>
    <row r="14" spans="1:100" ht="15" customHeight="1">
      <c r="A14" s="12" t="str">
        <f t="shared" si="1"/>
        <v>A</v>
      </c>
      <c r="B14" s="12" t="str">
        <f>IF(IFERROR(HLOOKUP(B$2,$M$2:$BL14,$J14,FALSE),"")="","",IFERROR(HLOOKUP(B$2,$M$2:$BL14,$J14,FALSE),""))</f>
        <v/>
      </c>
      <c r="C14" s="12" t="str">
        <f>IF(IFERROR(HLOOKUP(C$2,$M$2:$BL14,$J14,FALSE),"")="","",IFERROR(HLOOKUP(C$2,$M$2:$BL14,$J14,FALSE),""))</f>
        <v/>
      </c>
      <c r="D14" s="12" t="str">
        <f>IF(IFERROR(HLOOKUP(D$2,$M$2:$BL14,$J14,FALSE),"")="","",IFERROR(HLOOKUP(D$2,$M$2:$BL14,$J14,FALSE),""))</f>
        <v/>
      </c>
      <c r="E14" s="12" t="str">
        <f>IF(IFERROR(HLOOKUP(E$2,$M$2:$BL14,$J14,FALSE),"")="","",IFERROR(HLOOKUP(E$2,$M$2:$BL14,$J14,FALSE),""))</f>
        <v/>
      </c>
      <c r="F14" s="12" t="str">
        <f>IF(IFERROR(HLOOKUP(F$2,$M$2:$BL14,$J14,FALSE),"")="","",IFERROR(HLOOKUP(F$2,$M$2:$BL14,$J14,FALSE),""))</f>
        <v/>
      </c>
      <c r="G14" s="12" t="str">
        <f>IF(IFERROR(HLOOKUP(G$2,$M$2:$BL14,$J14,FALSE),"")="","",IFERROR(HLOOKUP(G$2,$M$2:$BL14,$J14,FALSE),""))</f>
        <v/>
      </c>
      <c r="J14" s="13">
        <f t="shared" si="0"/>
        <v>13</v>
      </c>
      <c r="L14" s="12" t="s">
        <v>8</v>
      </c>
      <c r="M14" s="17" t="s">
        <v>154</v>
      </c>
      <c r="N14" s="23" t="s">
        <v>155</v>
      </c>
      <c r="O14" s="12" t="s">
        <v>156</v>
      </c>
      <c r="P14" s="12" t="s">
        <v>157</v>
      </c>
      <c r="Q14" s="12" t="s">
        <v>158</v>
      </c>
      <c r="R14" s="12" t="s">
        <v>159</v>
      </c>
      <c r="S14" s="17" t="s">
        <v>160</v>
      </c>
      <c r="T14" s="12" t="s">
        <v>161</v>
      </c>
      <c r="V14" s="12" t="s">
        <v>162</v>
      </c>
      <c r="W14" s="12" t="s">
        <v>163</v>
      </c>
      <c r="X14" s="12" t="s">
        <v>164</v>
      </c>
      <c r="Y14" s="12" t="s">
        <v>165</v>
      </c>
      <c r="Z14" s="12" t="s">
        <v>166</v>
      </c>
      <c r="AA14" s="17"/>
      <c r="CU14" s="12" t="s">
        <v>24</v>
      </c>
      <c r="CV14" s="12" t="s">
        <v>139</v>
      </c>
    </row>
    <row r="15" spans="1:100" ht="15" customHeight="1">
      <c r="A15" s="12" t="str">
        <f t="shared" si="1"/>
        <v>BBB</v>
      </c>
      <c r="B15" s="12" t="str">
        <f>IF(IFERROR(HLOOKUP(B$2,$M$2:$BL15,$J15,FALSE),"")="","",IFERROR(HLOOKUP(B$2,$M$2:$BL15,$J15,FALSE),""))</f>
        <v/>
      </c>
      <c r="C15" s="12" t="str">
        <f>IF(IFERROR(HLOOKUP(C$2,$M$2:$BL15,$J15,FALSE),"")="","",IFERROR(HLOOKUP(C$2,$M$2:$BL15,$J15,FALSE),""))</f>
        <v/>
      </c>
      <c r="D15" s="12" t="str">
        <f>IF(IFERROR(HLOOKUP(D$2,$M$2:$BL15,$J15,FALSE),"")="","",IFERROR(HLOOKUP(D$2,$M$2:$BL15,$J15,FALSE),""))</f>
        <v/>
      </c>
      <c r="E15" s="12" t="str">
        <f>IF(IFERROR(HLOOKUP(E$2,$M$2:$BL15,$J15,FALSE),"")="","",IFERROR(HLOOKUP(E$2,$M$2:$BL15,$J15,FALSE),""))</f>
        <v/>
      </c>
      <c r="F15" s="12" t="str">
        <f>IF(IFERROR(HLOOKUP(F$2,$M$2:$BL15,$J15,FALSE),"")="","",IFERROR(HLOOKUP(F$2,$M$2:$BL15,$J15,FALSE),""))</f>
        <v/>
      </c>
      <c r="G15" s="12" t="str">
        <f>IF(IFERROR(HLOOKUP(G$2,$M$2:$BL15,$J15,FALSE),"")="","",IFERROR(HLOOKUP(G$2,$M$2:$BL15,$J15,FALSE),""))</f>
        <v/>
      </c>
      <c r="J15" s="13">
        <f t="shared" si="0"/>
        <v>14</v>
      </c>
      <c r="L15" s="12" t="s">
        <v>118</v>
      </c>
      <c r="M15" s="17" t="s">
        <v>167</v>
      </c>
      <c r="N15" s="23" t="s">
        <v>168</v>
      </c>
      <c r="O15" s="12" t="s">
        <v>169</v>
      </c>
      <c r="P15" s="12" t="s">
        <v>170</v>
      </c>
      <c r="Q15" s="12" t="s">
        <v>171</v>
      </c>
      <c r="R15" s="12" t="s">
        <v>172</v>
      </c>
      <c r="S15" s="17" t="s">
        <v>173</v>
      </c>
      <c r="T15" s="12" t="s">
        <v>174</v>
      </c>
      <c r="V15" s="12" t="s">
        <v>175</v>
      </c>
      <c r="W15" s="12" t="s">
        <v>176</v>
      </c>
      <c r="X15" s="12" t="s">
        <v>177</v>
      </c>
      <c r="Y15" s="12" t="s">
        <v>165</v>
      </c>
      <c r="Z15" s="12" t="s">
        <v>178</v>
      </c>
      <c r="AA15" s="17"/>
      <c r="CU15" s="12" t="s">
        <v>20</v>
      </c>
      <c r="CV15" s="12" t="s">
        <v>179</v>
      </c>
    </row>
    <row r="16" spans="1:100" ht="15" customHeight="1">
      <c r="A16" s="12" t="str">
        <f t="shared" si="1"/>
        <v>BB</v>
      </c>
      <c r="B16" s="12" t="str">
        <f>IF(IFERROR(HLOOKUP(B$2,$M$2:$BL16,$J16,FALSE),"")="","",IFERROR(HLOOKUP(B$2,$M$2:$BL16,$J16,FALSE),""))</f>
        <v/>
      </c>
      <c r="C16" s="12" t="str">
        <f>IF(IFERROR(HLOOKUP(C$2,$M$2:$BL16,$J16,FALSE),"")="","",IFERROR(HLOOKUP(C$2,$M$2:$BL16,$J16,FALSE),""))</f>
        <v/>
      </c>
      <c r="D16" s="12" t="str">
        <f>IF(IFERROR(HLOOKUP(D$2,$M$2:$BL16,$J16,FALSE),"")="","",IFERROR(HLOOKUP(D$2,$M$2:$BL16,$J16,FALSE),""))</f>
        <v/>
      </c>
      <c r="E16" s="12" t="str">
        <f>IF(IFERROR(HLOOKUP(E$2,$M$2:$BL16,$J16,FALSE),"")="","",IFERROR(HLOOKUP(E$2,$M$2:$BL16,$J16,FALSE),""))</f>
        <v/>
      </c>
      <c r="F16" s="12" t="str">
        <f>IF(IFERROR(HLOOKUP(F$2,$M$2:$BL16,$J16,FALSE),"")="","",IFERROR(HLOOKUP(F$2,$M$2:$BL16,$J16,FALSE),""))</f>
        <v/>
      </c>
      <c r="G16" s="12" t="str">
        <f>IF(IFERROR(HLOOKUP(G$2,$M$2:$BL16,$J16,FALSE),"")="","",IFERROR(HLOOKUP(G$2,$M$2:$BL16,$J16,FALSE),""))</f>
        <v/>
      </c>
      <c r="J16" s="13">
        <f t="shared" si="0"/>
        <v>15</v>
      </c>
      <c r="L16" s="12" t="s">
        <v>139</v>
      </c>
      <c r="M16" s="17" t="s">
        <v>180</v>
      </c>
      <c r="N16" s="23" t="s">
        <v>181</v>
      </c>
      <c r="O16" s="12" t="s">
        <v>182</v>
      </c>
      <c r="P16" s="12" t="s">
        <v>183</v>
      </c>
      <c r="Q16" s="12" t="s">
        <v>184</v>
      </c>
      <c r="R16" s="12" t="s">
        <v>185</v>
      </c>
      <c r="S16" s="17" t="s">
        <v>186</v>
      </c>
      <c r="T16" s="12" t="s">
        <v>187</v>
      </c>
      <c r="V16" s="12" t="s">
        <v>188</v>
      </c>
      <c r="W16" s="12" t="s">
        <v>189</v>
      </c>
      <c r="X16" s="22" t="s">
        <v>190</v>
      </c>
      <c r="Y16" s="12" t="s">
        <v>165</v>
      </c>
      <c r="Z16" s="12" t="s">
        <v>191</v>
      </c>
      <c r="AA16" s="17"/>
      <c r="CU16" s="12" t="s">
        <v>179</v>
      </c>
      <c r="CV16" s="12" t="s">
        <v>179</v>
      </c>
    </row>
    <row r="17" spans="1:100" ht="15" customHeight="1">
      <c r="A17" s="12" t="str">
        <f t="shared" si="1"/>
        <v>B</v>
      </c>
      <c r="B17" s="12" t="str">
        <f>IF(IFERROR(HLOOKUP(B$2,$M$2:$BL17,$J17,FALSE),"")="","",IFERROR(HLOOKUP(B$2,$M$2:$BL17,$J17,FALSE),""))</f>
        <v/>
      </c>
      <c r="C17" s="12" t="str">
        <f>IF(IFERROR(HLOOKUP(C$2,$M$2:$BL17,$J17,FALSE),"")="","",IFERROR(HLOOKUP(C$2,$M$2:$BL17,$J17,FALSE),""))</f>
        <v/>
      </c>
      <c r="D17" s="12" t="str">
        <f>IF(IFERROR(HLOOKUP(D$2,$M$2:$BL17,$J17,FALSE),"")="","",IFERROR(HLOOKUP(D$2,$M$2:$BL17,$J17,FALSE),""))</f>
        <v/>
      </c>
      <c r="E17" s="12" t="str">
        <f>IF(IFERROR(HLOOKUP(E$2,$M$2:$BL17,$J17,FALSE),"")="","",IFERROR(HLOOKUP(E$2,$M$2:$BL17,$J17,FALSE),""))</f>
        <v/>
      </c>
      <c r="F17" s="12" t="str">
        <f>IF(IFERROR(HLOOKUP(F$2,$M$2:$BL17,$J17,FALSE),"")="","",IFERROR(HLOOKUP(F$2,$M$2:$BL17,$J17,FALSE),""))</f>
        <v/>
      </c>
      <c r="G17" s="12" t="str">
        <f>IF(IFERROR(HLOOKUP(G$2,$M$2:$BL17,$J17,FALSE),"")="","",IFERROR(HLOOKUP(G$2,$M$2:$BL17,$J17,FALSE),""))</f>
        <v/>
      </c>
      <c r="J17" s="13">
        <f t="shared" si="0"/>
        <v>16</v>
      </c>
      <c r="L17" s="12" t="s">
        <v>179</v>
      </c>
      <c r="M17" s="17" t="s">
        <v>192</v>
      </c>
      <c r="N17" s="23" t="s">
        <v>193</v>
      </c>
      <c r="O17" s="12" t="s">
        <v>194</v>
      </c>
      <c r="P17" s="12" t="s">
        <v>195</v>
      </c>
      <c r="Q17" s="12" t="s">
        <v>196</v>
      </c>
      <c r="R17" s="12" t="s">
        <v>197</v>
      </c>
      <c r="S17" s="17" t="s">
        <v>198</v>
      </c>
      <c r="T17" s="12" t="s">
        <v>199</v>
      </c>
      <c r="V17" s="12" t="s">
        <v>200</v>
      </c>
      <c r="W17" s="12" t="s">
        <v>201</v>
      </c>
      <c r="X17" s="12" t="s">
        <v>202</v>
      </c>
      <c r="Y17" s="12" t="s">
        <v>203</v>
      </c>
      <c r="Z17" s="12" t="s">
        <v>204</v>
      </c>
      <c r="AA17" s="17"/>
      <c r="CU17" s="12" t="s">
        <v>28</v>
      </c>
      <c r="CV17" s="12" t="s">
        <v>179</v>
      </c>
    </row>
    <row r="18" spans="1:100" ht="15" customHeight="1">
      <c r="A18" s="12" t="str">
        <f t="shared" si="1"/>
        <v>CCC and below</v>
      </c>
      <c r="B18" s="12" t="str">
        <f>IF(IFERROR(HLOOKUP(B$2,$M$2:$BL18,$J18,FALSE),"")="","",IFERROR(HLOOKUP(B$2,$M$2:$BL18,$J18,FALSE),""))</f>
        <v/>
      </c>
      <c r="C18" s="12" t="str">
        <f>IF(IFERROR(HLOOKUP(C$2,$M$2:$BL18,$J18,FALSE),"")="","",IFERROR(HLOOKUP(C$2,$M$2:$BL18,$J18,FALSE),""))</f>
        <v/>
      </c>
      <c r="D18" s="12" t="str">
        <f>IF(IFERROR(HLOOKUP(D$2,$M$2:$BL18,$J18,FALSE),"")="","",IFERROR(HLOOKUP(D$2,$M$2:$BL18,$J18,FALSE),""))</f>
        <v/>
      </c>
      <c r="E18" s="12" t="str">
        <f>IF(IFERROR(HLOOKUP(E$2,$M$2:$BL18,$J18,FALSE),"")="","",IFERROR(HLOOKUP(E$2,$M$2:$BL18,$J18,FALSE),""))</f>
        <v/>
      </c>
      <c r="F18" s="12" t="str">
        <f>IF(IFERROR(HLOOKUP(F$2,$M$2:$BL18,$J18,FALSE),"")="","",IFERROR(HLOOKUP(F$2,$M$2:$BL18,$J18,FALSE),""))</f>
        <v/>
      </c>
      <c r="G18" s="12" t="str">
        <f>IF(IFERROR(HLOOKUP(G$2,$M$2:$BL18,$J18,FALSE),"")="","",IFERROR(HLOOKUP(G$2,$M$2:$BL18,$J18,FALSE),""))</f>
        <v/>
      </c>
      <c r="J18" s="13">
        <f t="shared" si="0"/>
        <v>17</v>
      </c>
      <c r="L18" s="12" t="s">
        <v>205</v>
      </c>
      <c r="M18" s="17" t="s">
        <v>206</v>
      </c>
      <c r="N18" s="23" t="s">
        <v>207</v>
      </c>
      <c r="O18" s="12" t="s">
        <v>208</v>
      </c>
      <c r="P18" s="12" t="s">
        <v>209</v>
      </c>
      <c r="Q18" s="12" t="s">
        <v>210</v>
      </c>
      <c r="R18" s="12" t="s">
        <v>211</v>
      </c>
      <c r="S18" s="17" t="s">
        <v>212</v>
      </c>
      <c r="T18" s="12" t="s">
        <v>148</v>
      </c>
      <c r="V18" s="12" t="s">
        <v>148</v>
      </c>
      <c r="W18" s="12" t="s">
        <v>213</v>
      </c>
      <c r="X18" s="12" t="s">
        <v>148</v>
      </c>
      <c r="Y18" s="12" t="s">
        <v>203</v>
      </c>
      <c r="Z18" s="12" t="s">
        <v>148</v>
      </c>
      <c r="AA18" s="17"/>
      <c r="CU18" s="12" t="s">
        <v>33</v>
      </c>
      <c r="CV18" s="12" t="s">
        <v>205</v>
      </c>
    </row>
    <row r="19" spans="1:100" s="15" customFormat="1" ht="15" customHeight="1">
      <c r="A19" s="18" t="str">
        <f>+K19</f>
        <v>Factor 2</v>
      </c>
      <c r="B19" s="18" t="str">
        <f>IF(IFERROR(HLOOKUP(B$2,$M$2:$BL19,$J19,FALSE),"")="","",IFERROR(HLOOKUP(B$2,$M$2:$BL19,$J19,FALSE),""))</f>
        <v/>
      </c>
      <c r="C19" s="18" t="str">
        <f>IF(IFERROR(HLOOKUP(C$2,$M$2:$BL19,$J19,FALSE),"")="","",IFERROR(HLOOKUP(C$2,$M$2:$BL19,$J19,FALSE),""))</f>
        <v/>
      </c>
      <c r="D19" s="18" t="str">
        <f>IF(IFERROR(HLOOKUP(D$2,$M$2:$BL19,$J19,FALSE),"")="","",IFERROR(HLOOKUP(D$2,$M$2:$BL19,$J19,FALSE),""))</f>
        <v/>
      </c>
      <c r="E19" s="18" t="str">
        <f>IF(IFERROR(HLOOKUP(E$2,$M$2:$BL19,$J19,FALSE),"")="","",IFERROR(HLOOKUP(E$2,$M$2:$BL19,$J19,FALSE),""))</f>
        <v/>
      </c>
      <c r="F19" s="18" t="str">
        <f>IF(IFERROR(HLOOKUP(F$2,$M$2:$BL19,$J19,FALSE),"")="","",IFERROR(HLOOKUP(F$2,$M$2:$BL19,$J19,FALSE),""))</f>
        <v/>
      </c>
      <c r="G19" s="18" t="str">
        <f>IF(IFERROR(HLOOKUP(G$2,$M$2:$BL19,$J19,FALSE),"")="","",IFERROR(HLOOKUP(G$2,$M$2:$BL19,$J19,FALSE),""))</f>
        <v/>
      </c>
      <c r="H19" s="18"/>
      <c r="J19" s="16">
        <f t="shared" si="0"/>
        <v>18</v>
      </c>
      <c r="K19" s="15" t="s">
        <v>214</v>
      </c>
      <c r="M19" s="15" t="s">
        <v>215</v>
      </c>
      <c r="N19" s="15" t="s">
        <v>216</v>
      </c>
      <c r="O19" s="15" t="s">
        <v>217</v>
      </c>
      <c r="P19" s="15" t="s">
        <v>218</v>
      </c>
      <c r="Q19" s="15" t="s">
        <v>130</v>
      </c>
      <c r="R19" s="15" t="s">
        <v>218</v>
      </c>
      <c r="S19" s="15" t="s">
        <v>219</v>
      </c>
      <c r="T19" s="15" t="s">
        <v>220</v>
      </c>
      <c r="V19" s="15" t="s">
        <v>130</v>
      </c>
      <c r="W19" s="15" t="s">
        <v>221</v>
      </c>
      <c r="Y19" s="15" t="s">
        <v>23</v>
      </c>
      <c r="Z19" s="15" t="s">
        <v>222</v>
      </c>
      <c r="CU19" s="15" t="s">
        <v>223</v>
      </c>
      <c r="CV19" s="15" t="s">
        <v>205</v>
      </c>
    </row>
    <row r="20" spans="1:100" ht="15" customHeight="1">
      <c r="A20" s="12" t="str">
        <f t="shared" ref="A20:A25" si="2">+L20</f>
        <v>AA and above</v>
      </c>
      <c r="B20" s="12" t="str">
        <f>IF(IFERROR(HLOOKUP(B$2,$M$2:$BL20,$J20,FALSE),"")="","",IFERROR(HLOOKUP(B$2,$M$2:$BL20,$J20,FALSE),""))</f>
        <v/>
      </c>
      <c r="C20" s="12" t="str">
        <f>IF(IFERROR(HLOOKUP(C$2,$M$2:$BL20,$J20,FALSE),"")="","",IFERROR(HLOOKUP(C$2,$M$2:$BL20,$J20,FALSE),""))</f>
        <v/>
      </c>
      <c r="D20" s="12" t="str">
        <f>IF(IFERROR(HLOOKUP(D$2,$M$2:$BL20,$J20,FALSE),"")="","",IFERROR(HLOOKUP(D$2,$M$2:$BL20,$J20,FALSE),""))</f>
        <v/>
      </c>
      <c r="E20" s="12" t="str">
        <f>IF(IFERROR(HLOOKUP(E$2,$M$2:$BL20,$J20,FALSE),"")="","",IFERROR(HLOOKUP(E$2,$M$2:$BL20,$J20,FALSE),""))</f>
        <v/>
      </c>
      <c r="F20" s="12" t="str">
        <f>IF(IFERROR(HLOOKUP(F$2,$M$2:$BL20,$J20,FALSE),"")="","",IFERROR(HLOOKUP(F$2,$M$2:$BL20,$J20,FALSE),""))</f>
        <v/>
      </c>
      <c r="G20" s="12" t="str">
        <f>IF(IFERROR(HLOOKUP(G$2,$M$2:$BL20,$J20,FALSE),"")="","",IFERROR(HLOOKUP(G$2,$M$2:$BL20,$J20,FALSE),""))</f>
        <v/>
      </c>
      <c r="J20" s="13">
        <f t="shared" si="0"/>
        <v>19</v>
      </c>
      <c r="L20" s="12" t="s">
        <v>78</v>
      </c>
      <c r="M20" s="17" t="s">
        <v>224</v>
      </c>
      <c r="N20" s="12" t="s">
        <v>225</v>
      </c>
      <c r="O20" s="12" t="s">
        <v>226</v>
      </c>
      <c r="P20" s="12" t="s">
        <v>227</v>
      </c>
      <c r="Q20" s="12" t="s">
        <v>228</v>
      </c>
      <c r="R20" s="12" t="s">
        <v>229</v>
      </c>
      <c r="S20" s="17" t="s">
        <v>230</v>
      </c>
      <c r="T20" s="12" t="s">
        <v>231</v>
      </c>
      <c r="V20" s="12" t="s">
        <v>148</v>
      </c>
      <c r="W20" s="12" t="s">
        <v>232</v>
      </c>
      <c r="Y20" s="12" t="s">
        <v>233</v>
      </c>
      <c r="Z20" s="12" t="s">
        <v>148</v>
      </c>
      <c r="AA20" s="17"/>
      <c r="CU20" s="12" t="s">
        <v>31</v>
      </c>
      <c r="CV20" s="12" t="s">
        <v>205</v>
      </c>
    </row>
    <row r="21" spans="1:100" ht="15" customHeight="1">
      <c r="A21" s="12" t="str">
        <f t="shared" si="2"/>
        <v>A</v>
      </c>
      <c r="B21" s="12" t="str">
        <f>IF(IFERROR(HLOOKUP(B$2,$M$2:$BL21,$J21,FALSE),"")="","",IFERROR(HLOOKUP(B$2,$M$2:$BL21,$J21,FALSE),""))</f>
        <v/>
      </c>
      <c r="C21" s="12" t="str">
        <f>IF(IFERROR(HLOOKUP(C$2,$M$2:$BL21,$J21,FALSE),"")="","",IFERROR(HLOOKUP(C$2,$M$2:$BL21,$J21,FALSE),""))</f>
        <v/>
      </c>
      <c r="D21" s="12" t="str">
        <f>IF(IFERROR(HLOOKUP(D$2,$M$2:$BL21,$J21,FALSE),"")="","",IFERROR(HLOOKUP(D$2,$M$2:$BL21,$J21,FALSE),""))</f>
        <v/>
      </c>
      <c r="E21" s="12" t="str">
        <f>IF(IFERROR(HLOOKUP(E$2,$M$2:$BL21,$J21,FALSE),"")="","",IFERROR(HLOOKUP(E$2,$M$2:$BL21,$J21,FALSE),""))</f>
        <v/>
      </c>
      <c r="F21" s="12" t="str">
        <f>IF(IFERROR(HLOOKUP(F$2,$M$2:$BL21,$J21,FALSE),"")="","",IFERROR(HLOOKUP(F$2,$M$2:$BL21,$J21,FALSE),""))</f>
        <v/>
      </c>
      <c r="G21" s="12" t="str">
        <f>IF(IFERROR(HLOOKUP(G$2,$M$2:$BL21,$J21,FALSE),"")="","",IFERROR(HLOOKUP(G$2,$M$2:$BL21,$J21,FALSE),""))</f>
        <v/>
      </c>
      <c r="J21" s="13">
        <f t="shared" si="0"/>
        <v>20</v>
      </c>
      <c r="L21" s="12" t="s">
        <v>8</v>
      </c>
      <c r="M21" s="17" t="s">
        <v>234</v>
      </c>
      <c r="N21" s="12" t="s">
        <v>225</v>
      </c>
      <c r="O21" s="12" t="s">
        <v>235</v>
      </c>
      <c r="P21" s="12" t="s">
        <v>236</v>
      </c>
      <c r="Q21" s="12" t="s">
        <v>228</v>
      </c>
      <c r="R21" s="12" t="s">
        <v>237</v>
      </c>
      <c r="S21" s="17" t="s">
        <v>238</v>
      </c>
      <c r="T21" s="12" t="s">
        <v>239</v>
      </c>
      <c r="V21" s="12" t="s">
        <v>240</v>
      </c>
      <c r="W21" s="12" t="s">
        <v>241</v>
      </c>
      <c r="Y21" s="12" t="s">
        <v>242</v>
      </c>
      <c r="Z21" s="12" t="s">
        <v>148</v>
      </c>
      <c r="AA21" s="17"/>
      <c r="CU21" s="12" t="s">
        <v>243</v>
      </c>
      <c r="CV21" s="12" t="s">
        <v>205</v>
      </c>
    </row>
    <row r="22" spans="1:100" ht="15" customHeight="1">
      <c r="A22" s="12" t="str">
        <f t="shared" si="2"/>
        <v>BBB</v>
      </c>
      <c r="B22" s="12" t="str">
        <f>IF(IFERROR(HLOOKUP(B$2,$M$2:$BL22,$J22,FALSE),"")="","",IFERROR(HLOOKUP(B$2,$M$2:$BL22,$J22,FALSE),""))</f>
        <v/>
      </c>
      <c r="C22" s="12" t="str">
        <f>IF(IFERROR(HLOOKUP(C$2,$M$2:$BL22,$J22,FALSE),"")="","",IFERROR(HLOOKUP(C$2,$M$2:$BL22,$J22,FALSE),""))</f>
        <v/>
      </c>
      <c r="D22" s="12" t="str">
        <f>IF(IFERROR(HLOOKUP(D$2,$M$2:$BL22,$J22,FALSE),"")="","",IFERROR(HLOOKUP(D$2,$M$2:$BL22,$J22,FALSE),""))</f>
        <v/>
      </c>
      <c r="E22" s="12" t="str">
        <f>IF(IFERROR(HLOOKUP(E$2,$M$2:$BL22,$J22,FALSE),"")="","",IFERROR(HLOOKUP(E$2,$M$2:$BL22,$J22,FALSE),""))</f>
        <v/>
      </c>
      <c r="F22" s="12" t="str">
        <f>IF(IFERROR(HLOOKUP(F$2,$M$2:$BL22,$J22,FALSE),"")="","",IFERROR(HLOOKUP(F$2,$M$2:$BL22,$J22,FALSE),""))</f>
        <v/>
      </c>
      <c r="G22" s="12" t="str">
        <f>IF(IFERROR(HLOOKUP(G$2,$M$2:$BL22,$J22,FALSE),"")="","",IFERROR(HLOOKUP(G$2,$M$2:$BL22,$J22,FALSE),""))</f>
        <v/>
      </c>
      <c r="J22" s="13">
        <f t="shared" si="0"/>
        <v>21</v>
      </c>
      <c r="L22" s="12" t="s">
        <v>118</v>
      </c>
      <c r="M22" s="17" t="s">
        <v>234</v>
      </c>
      <c r="N22" s="12" t="s">
        <v>244</v>
      </c>
      <c r="O22" s="12" t="s">
        <v>245</v>
      </c>
      <c r="P22" s="12" t="s">
        <v>246</v>
      </c>
      <c r="Q22" s="12" t="s">
        <v>247</v>
      </c>
      <c r="R22" s="12" t="s">
        <v>248</v>
      </c>
      <c r="S22" s="17" t="s">
        <v>249</v>
      </c>
      <c r="T22" s="12" t="s">
        <v>250</v>
      </c>
      <c r="V22" s="12" t="s">
        <v>251</v>
      </c>
      <c r="W22" s="12" t="s">
        <v>198</v>
      </c>
      <c r="Y22" s="12" t="s">
        <v>242</v>
      </c>
      <c r="Z22" s="12" t="s">
        <v>252</v>
      </c>
      <c r="AA22" s="17"/>
      <c r="CU22" s="12" t="s">
        <v>253</v>
      </c>
      <c r="CV22" s="12" t="s">
        <v>205</v>
      </c>
    </row>
    <row r="23" spans="1:100" ht="15" customHeight="1">
      <c r="A23" s="12" t="str">
        <f t="shared" si="2"/>
        <v>BB</v>
      </c>
      <c r="B23" s="12" t="str">
        <f>IF(IFERROR(HLOOKUP(B$2,$M$2:$BL23,$J23,FALSE),"")="","",IFERROR(HLOOKUP(B$2,$M$2:$BL23,$J23,FALSE),""))</f>
        <v/>
      </c>
      <c r="C23" s="12" t="str">
        <f>IF(IFERROR(HLOOKUP(C$2,$M$2:$BL23,$J23,FALSE),"")="","",IFERROR(HLOOKUP(C$2,$M$2:$BL23,$J23,FALSE),""))</f>
        <v/>
      </c>
      <c r="D23" s="12" t="str">
        <f>IF(IFERROR(HLOOKUP(D$2,$M$2:$BL23,$J23,FALSE),"")="","",IFERROR(HLOOKUP(D$2,$M$2:$BL23,$J23,FALSE),""))</f>
        <v/>
      </c>
      <c r="E23" s="12" t="str">
        <f>IF(IFERROR(HLOOKUP(E$2,$M$2:$BL23,$J23,FALSE),"")="","",IFERROR(HLOOKUP(E$2,$M$2:$BL23,$J23,FALSE),""))</f>
        <v/>
      </c>
      <c r="F23" s="12" t="str">
        <f>IF(IFERROR(HLOOKUP(F$2,$M$2:$BL23,$J23,FALSE),"")="","",IFERROR(HLOOKUP(F$2,$M$2:$BL23,$J23,FALSE),""))</f>
        <v/>
      </c>
      <c r="G23" s="12" t="str">
        <f>IF(IFERROR(HLOOKUP(G$2,$M$2:$BL23,$J23,FALSE),"")="","",IFERROR(HLOOKUP(G$2,$M$2:$BL23,$J23,FALSE),""))</f>
        <v/>
      </c>
      <c r="J23" s="13">
        <f t="shared" si="0"/>
        <v>22</v>
      </c>
      <c r="L23" s="12" t="s">
        <v>139</v>
      </c>
      <c r="M23" s="17" t="s">
        <v>254</v>
      </c>
      <c r="N23" s="12" t="s">
        <v>255</v>
      </c>
      <c r="O23" s="12" t="s">
        <v>256</v>
      </c>
      <c r="P23" s="12" t="s">
        <v>257</v>
      </c>
      <c r="Q23" s="12" t="s">
        <v>258</v>
      </c>
      <c r="R23" s="12" t="s">
        <v>259</v>
      </c>
      <c r="S23" s="17" t="s">
        <v>260</v>
      </c>
      <c r="T23" s="12" t="s">
        <v>261</v>
      </c>
      <c r="V23" s="12" t="s">
        <v>262</v>
      </c>
      <c r="W23" s="12" t="s">
        <v>263</v>
      </c>
      <c r="Y23" s="12" t="s">
        <v>264</v>
      </c>
      <c r="Z23" s="12" t="s">
        <v>178</v>
      </c>
      <c r="AA23" s="17"/>
    </row>
    <row r="24" spans="1:100" ht="15" customHeight="1">
      <c r="A24" s="12" t="str">
        <f t="shared" si="2"/>
        <v>B</v>
      </c>
      <c r="B24" s="12" t="str">
        <f>IF(IFERROR(HLOOKUP(B$2,$M$2:$BL24,$J24,FALSE),"")="","",IFERROR(HLOOKUP(B$2,$M$2:$BL24,$J24,FALSE),""))</f>
        <v/>
      </c>
      <c r="C24" s="12" t="str">
        <f>IF(IFERROR(HLOOKUP(C$2,$M$2:$BL24,$J24,FALSE),"")="","",IFERROR(HLOOKUP(C$2,$M$2:$BL24,$J24,FALSE),""))</f>
        <v/>
      </c>
      <c r="D24" s="12" t="str">
        <f>IF(IFERROR(HLOOKUP(D$2,$M$2:$BL24,$J24,FALSE),"")="","",IFERROR(HLOOKUP(D$2,$M$2:$BL24,$J24,FALSE),""))</f>
        <v/>
      </c>
      <c r="E24" s="12" t="str">
        <f>IF(IFERROR(HLOOKUP(E$2,$M$2:$BL24,$J24,FALSE),"")="","",IFERROR(HLOOKUP(E$2,$M$2:$BL24,$J24,FALSE),""))</f>
        <v/>
      </c>
      <c r="F24" s="12" t="str">
        <f>IF(IFERROR(HLOOKUP(F$2,$M$2:$BL24,$J24,FALSE),"")="","",IFERROR(HLOOKUP(F$2,$M$2:$BL24,$J24,FALSE),""))</f>
        <v/>
      </c>
      <c r="G24" s="12" t="str">
        <f>IF(IFERROR(HLOOKUP(G$2,$M$2:$BL24,$J24,FALSE),"")="","",IFERROR(HLOOKUP(G$2,$M$2:$BL24,$J24,FALSE),""))</f>
        <v/>
      </c>
      <c r="J24" s="13">
        <f t="shared" si="0"/>
        <v>23</v>
      </c>
      <c r="L24" s="12" t="s">
        <v>179</v>
      </c>
      <c r="M24" s="17" t="s">
        <v>254</v>
      </c>
      <c r="N24" s="12" t="s">
        <v>265</v>
      </c>
      <c r="O24" s="12" t="s">
        <v>266</v>
      </c>
      <c r="P24" s="12" t="s">
        <v>267</v>
      </c>
      <c r="Q24" s="12" t="s">
        <v>268</v>
      </c>
      <c r="R24" s="12" t="s">
        <v>269</v>
      </c>
      <c r="S24" s="17" t="s">
        <v>270</v>
      </c>
      <c r="T24" s="12" t="s">
        <v>271</v>
      </c>
      <c r="V24" s="12" t="s">
        <v>272</v>
      </c>
      <c r="W24" s="12" t="s">
        <v>273</v>
      </c>
      <c r="Y24" s="12" t="s">
        <v>264</v>
      </c>
      <c r="Z24" s="12" t="s">
        <v>191</v>
      </c>
      <c r="AA24" s="17"/>
    </row>
    <row r="25" spans="1:100" ht="15" customHeight="1">
      <c r="A25" s="12" t="str">
        <f t="shared" si="2"/>
        <v>CCC and below</v>
      </c>
      <c r="B25" s="12" t="str">
        <f>IF(IFERROR(HLOOKUP(B$2,$M$2:$BL25,$J25,FALSE),"")="","",IFERROR(HLOOKUP(B$2,$M$2:$BL25,$J25,FALSE),""))</f>
        <v/>
      </c>
      <c r="C25" s="12" t="str">
        <f>IF(IFERROR(HLOOKUP(C$2,$M$2:$BL25,$J25,FALSE),"")="","",IFERROR(HLOOKUP(C$2,$M$2:$BL25,$J25,FALSE),""))</f>
        <v/>
      </c>
      <c r="D25" s="12" t="str">
        <f>IF(IFERROR(HLOOKUP(D$2,$M$2:$BL25,$J25,FALSE),"")="","",IFERROR(HLOOKUP(D$2,$M$2:$BL25,$J25,FALSE),""))</f>
        <v/>
      </c>
      <c r="E25" s="12" t="str">
        <f>IF(IFERROR(HLOOKUP(E$2,$M$2:$BL25,$J25,FALSE),"")="","",IFERROR(HLOOKUP(E$2,$M$2:$BL25,$J25,FALSE),""))</f>
        <v/>
      </c>
      <c r="F25" s="12" t="str">
        <f>IF(IFERROR(HLOOKUP(F$2,$M$2:$BL25,$J25,FALSE),"")="","",IFERROR(HLOOKUP(F$2,$M$2:$BL25,$J25,FALSE),""))</f>
        <v/>
      </c>
      <c r="G25" s="12" t="str">
        <f>IF(IFERROR(HLOOKUP(G$2,$M$2:$BL25,$J25,FALSE),"")="","",IFERROR(HLOOKUP(G$2,$M$2:$BL25,$J25,FALSE),""))</f>
        <v/>
      </c>
      <c r="J25" s="13">
        <f t="shared" si="0"/>
        <v>24</v>
      </c>
      <c r="L25" s="12" t="s">
        <v>205</v>
      </c>
      <c r="M25" s="17" t="s">
        <v>274</v>
      </c>
      <c r="N25" s="12" t="s">
        <v>265</v>
      </c>
      <c r="O25" s="12" t="s">
        <v>275</v>
      </c>
      <c r="P25" s="12" t="s">
        <v>267</v>
      </c>
      <c r="Q25" s="12" t="s">
        <v>268</v>
      </c>
      <c r="R25" s="12" t="s">
        <v>276</v>
      </c>
      <c r="S25" s="17" t="s">
        <v>277</v>
      </c>
      <c r="T25" s="12" t="s">
        <v>148</v>
      </c>
      <c r="V25" s="12" t="s">
        <v>148</v>
      </c>
      <c r="W25" s="12" t="s">
        <v>278</v>
      </c>
      <c r="Y25" s="12" t="s">
        <v>264</v>
      </c>
      <c r="Z25" s="12" t="s">
        <v>204</v>
      </c>
      <c r="AA25" s="17"/>
    </row>
    <row r="26" spans="1:100" s="15" customFormat="1" ht="15" customHeight="1">
      <c r="A26" s="18" t="str">
        <f>+K26</f>
        <v>Factor 3</v>
      </c>
      <c r="B26" s="18" t="str">
        <f>IF(IFERROR(HLOOKUP(B$2,$M$2:$BL26,$J26,FALSE),"")="","",IFERROR(HLOOKUP(B$2,$M$2:$BL26,$J26,FALSE),""))</f>
        <v/>
      </c>
      <c r="C26" s="18" t="str">
        <f>IF(IFERROR(HLOOKUP(C$2,$M$2:$BL26,$J26,FALSE),"")="","",IFERROR(HLOOKUP(C$2,$M$2:$BL26,$J26,FALSE),""))</f>
        <v/>
      </c>
      <c r="D26" s="18" t="str">
        <f>IF(IFERROR(HLOOKUP(D$2,$M$2:$BL26,$J26,FALSE),"")="","",IFERROR(HLOOKUP(D$2,$M$2:$BL26,$J26,FALSE),""))</f>
        <v/>
      </c>
      <c r="E26" s="18" t="str">
        <f>IF(IFERROR(HLOOKUP(E$2,$M$2:$BL26,$J26,FALSE),"")="","",IFERROR(HLOOKUP(E$2,$M$2:$BL26,$J26,FALSE),""))</f>
        <v/>
      </c>
      <c r="F26" s="18" t="str">
        <f>IF(IFERROR(HLOOKUP(F$2,$M$2:$BL26,$J26,FALSE),"")="","",IFERROR(HLOOKUP(F$2,$M$2:$BL26,$J26,FALSE),""))</f>
        <v/>
      </c>
      <c r="G26" s="18" t="str">
        <f>IF(IFERROR(HLOOKUP(G$2,$M$2:$BL26,$J26,FALSE),"")="","",IFERROR(HLOOKUP(G$2,$M$2:$BL26,$J26,FALSE),""))</f>
        <v/>
      </c>
      <c r="H26" s="18"/>
      <c r="J26" s="16">
        <f t="shared" si="0"/>
        <v>25</v>
      </c>
      <c r="K26" s="15" t="s">
        <v>279</v>
      </c>
      <c r="N26" s="15" t="s">
        <v>280</v>
      </c>
      <c r="R26" s="15" t="s">
        <v>281</v>
      </c>
      <c r="S26" s="15" t="s">
        <v>282</v>
      </c>
      <c r="T26" s="15" t="s">
        <v>283</v>
      </c>
      <c r="V26" s="15" t="s">
        <v>284</v>
      </c>
      <c r="W26" s="15" t="s">
        <v>285</v>
      </c>
      <c r="Z26" s="15" t="s">
        <v>286</v>
      </c>
    </row>
    <row r="27" spans="1:100" ht="15" customHeight="1">
      <c r="A27" s="12" t="str">
        <f t="shared" ref="A27:A32" si="3">+L27</f>
        <v>AA and above</v>
      </c>
      <c r="B27" s="12" t="str">
        <f>IF(IFERROR(HLOOKUP(B$2,$M$2:$BL27,$J27,FALSE),"")="","",IFERROR(HLOOKUP(B$2,$M$2:$BL27,$J27,FALSE),""))</f>
        <v/>
      </c>
      <c r="C27" s="12" t="str">
        <f>IF(IFERROR(HLOOKUP(C$2,$M$2:$BL27,$J27,FALSE),"")="","",IFERROR(HLOOKUP(C$2,$M$2:$BL27,$J27,FALSE),""))</f>
        <v/>
      </c>
      <c r="D27" s="12" t="str">
        <f>IF(IFERROR(HLOOKUP(D$2,$M$2:$BL27,$J27,FALSE),"")="","",IFERROR(HLOOKUP(D$2,$M$2:$BL27,$J27,FALSE),""))</f>
        <v/>
      </c>
      <c r="E27" s="12" t="str">
        <f>IF(IFERROR(HLOOKUP(E$2,$M$2:$BL27,$J27,FALSE),"")="","",IFERROR(HLOOKUP(E$2,$M$2:$BL27,$J27,FALSE),""))</f>
        <v/>
      </c>
      <c r="F27" s="12" t="str">
        <f>IF(IFERROR(HLOOKUP(F$2,$M$2:$BL27,$J27,FALSE),"")="","",IFERROR(HLOOKUP(F$2,$M$2:$BL27,$J27,FALSE),""))</f>
        <v/>
      </c>
      <c r="G27" s="12" t="str">
        <f>IF(IFERROR(HLOOKUP(G$2,$M$2:$BL27,$J27,FALSE),"")="","",IFERROR(HLOOKUP(G$2,$M$2:$BL27,$J27,FALSE),""))</f>
        <v/>
      </c>
      <c r="J27" s="13">
        <f t="shared" si="0"/>
        <v>26</v>
      </c>
      <c r="L27" s="12" t="s">
        <v>78</v>
      </c>
      <c r="M27" s="17"/>
      <c r="N27" s="23" t="s">
        <v>287</v>
      </c>
      <c r="R27" s="12" t="s">
        <v>288</v>
      </c>
      <c r="S27" s="17" t="s">
        <v>289</v>
      </c>
      <c r="T27" s="22" t="s">
        <v>290</v>
      </c>
      <c r="V27" s="12" t="s">
        <v>148</v>
      </c>
      <c r="W27" s="12" t="s">
        <v>291</v>
      </c>
      <c r="Z27" s="12" t="s">
        <v>148</v>
      </c>
      <c r="AA27" s="17"/>
    </row>
    <row r="28" spans="1:100" ht="15" customHeight="1">
      <c r="A28" s="12" t="str">
        <f t="shared" si="3"/>
        <v>A</v>
      </c>
      <c r="B28" s="12" t="str">
        <f>IF(IFERROR(HLOOKUP(B$2,$M$2:$BL28,$J28,FALSE),"")="","",IFERROR(HLOOKUP(B$2,$M$2:$BL28,$J28,FALSE),""))</f>
        <v/>
      </c>
      <c r="C28" s="12" t="str">
        <f>IF(IFERROR(HLOOKUP(C$2,$M$2:$BL28,$J28,FALSE),"")="","",IFERROR(HLOOKUP(C$2,$M$2:$BL28,$J28,FALSE),""))</f>
        <v/>
      </c>
      <c r="D28" s="12" t="str">
        <f>IF(IFERROR(HLOOKUP(D$2,$M$2:$BL28,$J28,FALSE),"")="","",IFERROR(HLOOKUP(D$2,$M$2:$BL28,$J28,FALSE),""))</f>
        <v/>
      </c>
      <c r="E28" s="12" t="str">
        <f>IF(IFERROR(HLOOKUP(E$2,$M$2:$BL28,$J28,FALSE),"")="","",IFERROR(HLOOKUP(E$2,$M$2:$BL28,$J28,FALSE),""))</f>
        <v/>
      </c>
      <c r="F28" s="12" t="str">
        <f>IF(IFERROR(HLOOKUP(F$2,$M$2:$BL28,$J28,FALSE),"")="","",IFERROR(HLOOKUP(F$2,$M$2:$BL28,$J28,FALSE),""))</f>
        <v/>
      </c>
      <c r="G28" s="12" t="str">
        <f>IF(IFERROR(HLOOKUP(G$2,$M$2:$BL28,$J28,FALSE),"")="","",IFERROR(HLOOKUP(G$2,$M$2:$BL28,$J28,FALSE),""))</f>
        <v/>
      </c>
      <c r="J28" s="13">
        <f t="shared" si="0"/>
        <v>27</v>
      </c>
      <c r="L28" s="12" t="s">
        <v>8</v>
      </c>
      <c r="M28" s="17"/>
      <c r="N28" s="23" t="s">
        <v>292</v>
      </c>
      <c r="R28" s="12" t="s">
        <v>288</v>
      </c>
      <c r="S28" s="17" t="s">
        <v>293</v>
      </c>
      <c r="T28" s="12" t="s">
        <v>178</v>
      </c>
      <c r="V28" s="12" t="s">
        <v>294</v>
      </c>
      <c r="W28" s="12" t="s">
        <v>295</v>
      </c>
      <c r="Z28" s="12" t="s">
        <v>148</v>
      </c>
      <c r="AA28" s="17"/>
    </row>
    <row r="29" spans="1:100" ht="15" customHeight="1">
      <c r="A29" s="12" t="str">
        <f t="shared" si="3"/>
        <v>BBB</v>
      </c>
      <c r="B29" s="12" t="str">
        <f>IF(IFERROR(HLOOKUP(B$2,$M$2:$BL29,$J29,FALSE),"")="","",IFERROR(HLOOKUP(B$2,$M$2:$BL29,$J29,FALSE),""))</f>
        <v/>
      </c>
      <c r="C29" s="12" t="str">
        <f>IF(IFERROR(HLOOKUP(C$2,$M$2:$BL29,$J29,FALSE),"")="","",IFERROR(HLOOKUP(C$2,$M$2:$BL29,$J29,FALSE),""))</f>
        <v/>
      </c>
      <c r="D29" s="12" t="str">
        <f>IF(IFERROR(HLOOKUP(D$2,$M$2:$BL29,$J29,FALSE),"")="","",IFERROR(HLOOKUP(D$2,$M$2:$BL29,$J29,FALSE),""))</f>
        <v/>
      </c>
      <c r="E29" s="12" t="str">
        <f>IF(IFERROR(HLOOKUP(E$2,$M$2:$BL29,$J29,FALSE),"")="","",IFERROR(HLOOKUP(E$2,$M$2:$BL29,$J29,FALSE),""))</f>
        <v/>
      </c>
      <c r="F29" s="12" t="str">
        <f>IF(IFERROR(HLOOKUP(F$2,$M$2:$BL29,$J29,FALSE),"")="","",IFERROR(HLOOKUP(F$2,$M$2:$BL29,$J29,FALSE),""))</f>
        <v/>
      </c>
      <c r="G29" s="12" t="str">
        <f>IF(IFERROR(HLOOKUP(G$2,$M$2:$BL29,$J29,FALSE),"")="","",IFERROR(HLOOKUP(G$2,$M$2:$BL29,$J29,FALSE),""))</f>
        <v/>
      </c>
      <c r="J29" s="13">
        <f t="shared" si="0"/>
        <v>28</v>
      </c>
      <c r="L29" s="12" t="s">
        <v>118</v>
      </c>
      <c r="M29" s="17"/>
      <c r="N29" s="23" t="s">
        <v>296</v>
      </c>
      <c r="R29" s="12" t="s">
        <v>297</v>
      </c>
      <c r="S29" s="17" t="s">
        <v>298</v>
      </c>
      <c r="T29" s="12" t="s">
        <v>299</v>
      </c>
      <c r="V29" s="12" t="s">
        <v>294</v>
      </c>
      <c r="W29" s="12" t="s">
        <v>300</v>
      </c>
      <c r="Z29" s="12" t="s">
        <v>148</v>
      </c>
      <c r="AA29" s="17"/>
    </row>
    <row r="30" spans="1:100" ht="15" customHeight="1">
      <c r="A30" s="12" t="str">
        <f t="shared" si="3"/>
        <v>BB</v>
      </c>
      <c r="B30" s="12" t="str">
        <f>IF(IFERROR(HLOOKUP(B$2,$M$2:$BL30,$J30,FALSE),"")="","",IFERROR(HLOOKUP(B$2,$M$2:$BL30,$J30,FALSE),""))</f>
        <v/>
      </c>
      <c r="C30" s="12" t="str">
        <f>IF(IFERROR(HLOOKUP(C$2,$M$2:$BL30,$J30,FALSE),"")="","",IFERROR(HLOOKUP(C$2,$M$2:$BL30,$J30,FALSE),""))</f>
        <v/>
      </c>
      <c r="D30" s="12" t="str">
        <f>IF(IFERROR(HLOOKUP(D$2,$M$2:$BL30,$J30,FALSE),"")="","",IFERROR(HLOOKUP(D$2,$M$2:$BL30,$J30,FALSE),""))</f>
        <v/>
      </c>
      <c r="E30" s="12" t="str">
        <f>IF(IFERROR(HLOOKUP(E$2,$M$2:$BL30,$J30,FALSE),"")="","",IFERROR(HLOOKUP(E$2,$M$2:$BL30,$J30,FALSE),""))</f>
        <v/>
      </c>
      <c r="F30" s="12" t="str">
        <f>IF(IFERROR(HLOOKUP(F$2,$M$2:$BL30,$J30,FALSE),"")="","",IFERROR(HLOOKUP(F$2,$M$2:$BL30,$J30,FALSE),""))</f>
        <v/>
      </c>
      <c r="G30" s="12" t="str">
        <f>IF(IFERROR(HLOOKUP(G$2,$M$2:$BL30,$J30,FALSE),"")="","",IFERROR(HLOOKUP(G$2,$M$2:$BL30,$J30,FALSE),""))</f>
        <v/>
      </c>
      <c r="J30" s="13">
        <f t="shared" si="0"/>
        <v>29</v>
      </c>
      <c r="L30" s="12" t="s">
        <v>139</v>
      </c>
      <c r="M30" s="17"/>
      <c r="N30" s="23" t="s">
        <v>301</v>
      </c>
      <c r="R30" s="12" t="s">
        <v>302</v>
      </c>
      <c r="S30" s="17" t="s">
        <v>303</v>
      </c>
      <c r="T30" s="12" t="s">
        <v>304</v>
      </c>
      <c r="V30" s="12" t="s">
        <v>305</v>
      </c>
      <c r="W30" s="12" t="s">
        <v>306</v>
      </c>
      <c r="X30" s="22"/>
      <c r="Y30" s="22"/>
      <c r="Z30" s="12" t="s">
        <v>178</v>
      </c>
      <c r="AA30" s="17"/>
    </row>
    <row r="31" spans="1:100" ht="15" customHeight="1">
      <c r="A31" s="12" t="str">
        <f t="shared" si="3"/>
        <v>B</v>
      </c>
      <c r="B31" s="12" t="str">
        <f>IF(IFERROR(HLOOKUP(B$2,$M$2:$BL31,$J31,FALSE),"")="","",IFERROR(HLOOKUP(B$2,$M$2:$BL31,$J31,FALSE),""))</f>
        <v/>
      </c>
      <c r="C31" s="12" t="str">
        <f>IF(IFERROR(HLOOKUP(C$2,$M$2:$BL31,$J31,FALSE),"")="","",IFERROR(HLOOKUP(C$2,$M$2:$BL31,$J31,FALSE),""))</f>
        <v/>
      </c>
      <c r="D31" s="12" t="str">
        <f>IF(IFERROR(HLOOKUP(D$2,$M$2:$BL31,$J31,FALSE),"")="","",IFERROR(HLOOKUP(D$2,$M$2:$BL31,$J31,FALSE),""))</f>
        <v/>
      </c>
      <c r="E31" s="12" t="str">
        <f>IF(IFERROR(HLOOKUP(E$2,$M$2:$BL31,$J31,FALSE),"")="","",IFERROR(HLOOKUP(E$2,$M$2:$BL31,$J31,FALSE),""))</f>
        <v/>
      </c>
      <c r="F31" s="12" t="str">
        <f>IF(IFERROR(HLOOKUP(F$2,$M$2:$BL31,$J31,FALSE),"")="","",IFERROR(HLOOKUP(F$2,$M$2:$BL31,$J31,FALSE),""))</f>
        <v/>
      </c>
      <c r="G31" s="12" t="str">
        <f>IF(IFERROR(HLOOKUP(G$2,$M$2:$BL31,$J31,FALSE),"")="","",IFERROR(HLOOKUP(G$2,$M$2:$BL31,$J31,FALSE),""))</f>
        <v/>
      </c>
      <c r="J31" s="13">
        <f t="shared" si="0"/>
        <v>30</v>
      </c>
      <c r="L31" s="12" t="s">
        <v>179</v>
      </c>
      <c r="M31" s="17"/>
      <c r="N31" s="23" t="s">
        <v>307</v>
      </c>
      <c r="R31" s="12" t="s">
        <v>308</v>
      </c>
      <c r="S31" s="17" t="s">
        <v>309</v>
      </c>
      <c r="T31" s="12" t="s">
        <v>204</v>
      </c>
      <c r="V31" s="12" t="s">
        <v>305</v>
      </c>
      <c r="W31" s="12" t="s">
        <v>310</v>
      </c>
      <c r="Z31" s="12" t="s">
        <v>191</v>
      </c>
      <c r="AA31" s="17"/>
    </row>
    <row r="32" spans="1:100" ht="15" customHeight="1">
      <c r="A32" s="12" t="str">
        <f t="shared" si="3"/>
        <v>CCC and below</v>
      </c>
      <c r="B32" s="12" t="str">
        <f>IF(IFERROR(HLOOKUP(B$2,$M$2:$BL32,$J32,FALSE),"")="","",IFERROR(HLOOKUP(B$2,$M$2:$BL32,$J32,FALSE),""))</f>
        <v/>
      </c>
      <c r="C32" s="12" t="str">
        <f>IF(IFERROR(HLOOKUP(C$2,$M$2:$BL32,$J32,FALSE),"")="","",IFERROR(HLOOKUP(C$2,$M$2:$BL32,$J32,FALSE),""))</f>
        <v/>
      </c>
      <c r="D32" s="12" t="str">
        <f>IF(IFERROR(HLOOKUP(D$2,$M$2:$BL32,$J32,FALSE),"")="","",IFERROR(HLOOKUP(D$2,$M$2:$BL32,$J32,FALSE),""))</f>
        <v/>
      </c>
      <c r="E32" s="12" t="str">
        <f>IF(IFERROR(HLOOKUP(E$2,$M$2:$BL32,$J32,FALSE),"")="","",IFERROR(HLOOKUP(E$2,$M$2:$BL32,$J32,FALSE),""))</f>
        <v/>
      </c>
      <c r="F32" s="12" t="str">
        <f>IF(IFERROR(HLOOKUP(F$2,$M$2:$BL32,$J32,FALSE),"")="","",IFERROR(HLOOKUP(F$2,$M$2:$BL32,$J32,FALSE),""))</f>
        <v/>
      </c>
      <c r="G32" s="12" t="str">
        <f>IF(IFERROR(HLOOKUP(G$2,$M$2:$BL32,$J32,FALSE),"")="","",IFERROR(HLOOKUP(G$2,$M$2:$BL32,$J32,FALSE),""))</f>
        <v/>
      </c>
      <c r="J32" s="13">
        <f t="shared" si="0"/>
        <v>31</v>
      </c>
      <c r="L32" s="12" t="s">
        <v>205</v>
      </c>
      <c r="M32" s="17"/>
      <c r="N32" s="23" t="s">
        <v>311</v>
      </c>
      <c r="R32" s="12" t="s">
        <v>312</v>
      </c>
      <c r="S32" s="17" t="s">
        <v>313</v>
      </c>
      <c r="T32" s="12" t="s">
        <v>148</v>
      </c>
      <c r="V32" s="12" t="s">
        <v>148</v>
      </c>
      <c r="W32" s="12" t="s">
        <v>314</v>
      </c>
      <c r="Z32" s="12" t="s">
        <v>204</v>
      </c>
      <c r="AA32" s="17"/>
    </row>
    <row r="33" spans="1:27" s="15" customFormat="1" ht="15" customHeight="1">
      <c r="A33" s="18" t="str">
        <f>+K33</f>
        <v>Factor 4</v>
      </c>
      <c r="B33" s="18" t="str">
        <f>IF(IFERROR(HLOOKUP(B$2,$M$2:$BL33,$J33,FALSE),"")="","",IFERROR(HLOOKUP(B$2,$M$2:$BL33,$J33,FALSE),""))</f>
        <v/>
      </c>
      <c r="C33" s="18" t="str">
        <f>IF(IFERROR(HLOOKUP(C$2,$M$2:$BL33,$J33,FALSE),"")="","",IFERROR(HLOOKUP(C$2,$M$2:$BL33,$J33,FALSE),""))</f>
        <v/>
      </c>
      <c r="D33" s="18" t="str">
        <f>IF(IFERROR(HLOOKUP(D$2,$M$2:$BL33,$J33,FALSE),"")="","",IFERROR(HLOOKUP(D$2,$M$2:$BL33,$J33,FALSE),""))</f>
        <v/>
      </c>
      <c r="E33" s="18" t="str">
        <f>IF(IFERROR(HLOOKUP(E$2,$M$2:$BL33,$J33,FALSE),"")="","",IFERROR(HLOOKUP(E$2,$M$2:$BL33,$J33,FALSE),""))</f>
        <v/>
      </c>
      <c r="F33" s="18" t="str">
        <f>IF(IFERROR(HLOOKUP(F$2,$M$2:$BL33,$J33,FALSE),"")="","",IFERROR(HLOOKUP(F$2,$M$2:$BL33,$J33,FALSE),""))</f>
        <v/>
      </c>
      <c r="G33" s="18" t="str">
        <f>IF(IFERROR(HLOOKUP(G$2,$M$2:$BL33,$J33,FALSE),"")="","",IFERROR(HLOOKUP(G$2,$M$2:$BL33,$J33,FALSE),""))</f>
        <v/>
      </c>
      <c r="H33" s="18"/>
      <c r="J33" s="16">
        <f t="shared" si="0"/>
        <v>32</v>
      </c>
      <c r="K33" s="15" t="s">
        <v>315</v>
      </c>
      <c r="S33" s="15" t="s">
        <v>316</v>
      </c>
      <c r="T33" s="15" t="s">
        <v>317</v>
      </c>
      <c r="V33" s="15" t="s">
        <v>318</v>
      </c>
      <c r="W33" s="15" t="s">
        <v>319</v>
      </c>
      <c r="Z33" s="15" t="s">
        <v>320</v>
      </c>
    </row>
    <row r="34" spans="1:27" ht="15" customHeight="1">
      <c r="A34" s="12" t="str">
        <f t="shared" ref="A34:A39" si="4">+L34</f>
        <v>AA and above</v>
      </c>
      <c r="B34" s="12" t="str">
        <f>IF(IFERROR(HLOOKUP(B$2,$M$2:$BL34,$J34,FALSE),"")="","",IFERROR(HLOOKUP(B$2,$M$2:$BL34,$J34,FALSE),""))</f>
        <v/>
      </c>
      <c r="C34" s="12" t="str">
        <f>IF(IFERROR(HLOOKUP(C$2,$M$2:$BL34,$J34,FALSE),"")="","",IFERROR(HLOOKUP(C$2,$M$2:$BL34,$J34,FALSE),""))</f>
        <v/>
      </c>
      <c r="D34" s="12" t="str">
        <f>IF(IFERROR(HLOOKUP(D$2,$M$2:$BL34,$J34,FALSE),"")="","",IFERROR(HLOOKUP(D$2,$M$2:$BL34,$J34,FALSE),""))</f>
        <v/>
      </c>
      <c r="E34" s="12" t="str">
        <f>IF(IFERROR(HLOOKUP(E$2,$M$2:$BL34,$J34,FALSE),"")="","",IFERROR(HLOOKUP(E$2,$M$2:$BL34,$J34,FALSE),""))</f>
        <v/>
      </c>
      <c r="F34" s="12" t="str">
        <f>IF(IFERROR(HLOOKUP(F$2,$M$2:$BL34,$J34,FALSE),"")="","",IFERROR(HLOOKUP(F$2,$M$2:$BL34,$J34,FALSE),""))</f>
        <v/>
      </c>
      <c r="G34" s="12" t="str">
        <f>IF(IFERROR(HLOOKUP(G$2,$M$2:$BL34,$J34,FALSE),"")="","",IFERROR(HLOOKUP(G$2,$M$2:$BL34,$J34,FALSE),""))</f>
        <v/>
      </c>
      <c r="J34" s="13">
        <f t="shared" si="0"/>
        <v>33</v>
      </c>
      <c r="L34" s="12" t="s">
        <v>78</v>
      </c>
      <c r="Q34" s="17"/>
      <c r="S34" s="12" t="s">
        <v>321</v>
      </c>
      <c r="T34" s="23" t="s">
        <v>322</v>
      </c>
      <c r="V34" s="12" t="s">
        <v>148</v>
      </c>
      <c r="W34" s="12" t="s">
        <v>323</v>
      </c>
      <c r="Z34" s="17" t="s">
        <v>324</v>
      </c>
    </row>
    <row r="35" spans="1:27" ht="15" customHeight="1">
      <c r="A35" s="12" t="str">
        <f t="shared" si="4"/>
        <v>A</v>
      </c>
      <c r="B35" s="12" t="str">
        <f>IF(IFERROR(HLOOKUP(B$2,$M$2:$BL35,$J35,FALSE),"")="","",IFERROR(HLOOKUP(B$2,$M$2:$BL35,$J35,FALSE),""))</f>
        <v/>
      </c>
      <c r="C35" s="12" t="str">
        <f>IF(IFERROR(HLOOKUP(C$2,$M$2:$BL35,$J35,FALSE),"")="","",IFERROR(HLOOKUP(C$2,$M$2:$BL35,$J35,FALSE),""))</f>
        <v/>
      </c>
      <c r="D35" s="12" t="str">
        <f>IF(IFERROR(HLOOKUP(D$2,$M$2:$BL35,$J35,FALSE),"")="","",IFERROR(HLOOKUP(D$2,$M$2:$BL35,$J35,FALSE),""))</f>
        <v/>
      </c>
      <c r="E35" s="12" t="str">
        <f>IF(IFERROR(HLOOKUP(E$2,$M$2:$BL35,$J35,FALSE),"")="","",IFERROR(HLOOKUP(E$2,$M$2:$BL35,$J35,FALSE),""))</f>
        <v/>
      </c>
      <c r="F35" s="12" t="str">
        <f>IF(IFERROR(HLOOKUP(F$2,$M$2:$BL35,$J35,FALSE),"")="","",IFERROR(HLOOKUP(F$2,$M$2:$BL35,$J35,FALSE),""))</f>
        <v/>
      </c>
      <c r="G35" s="12" t="str">
        <f>IF(IFERROR(HLOOKUP(G$2,$M$2:$BL35,$J35,FALSE),"")="","",IFERROR(HLOOKUP(G$2,$M$2:$BL35,$J35,FALSE),""))</f>
        <v/>
      </c>
      <c r="J35" s="13">
        <f t="shared" si="0"/>
        <v>34</v>
      </c>
      <c r="L35" s="12" t="s">
        <v>8</v>
      </c>
      <c r="Q35" s="17"/>
      <c r="S35" s="12" t="s">
        <v>321</v>
      </c>
      <c r="T35" s="23" t="s">
        <v>322</v>
      </c>
      <c r="V35" s="23" t="s">
        <v>325</v>
      </c>
      <c r="W35" s="23" t="s">
        <v>326</v>
      </c>
      <c r="Z35" s="17" t="s">
        <v>327</v>
      </c>
    </row>
    <row r="36" spans="1:27" ht="15" customHeight="1">
      <c r="A36" s="12" t="str">
        <f t="shared" si="4"/>
        <v>BBB</v>
      </c>
      <c r="B36" s="12" t="str">
        <f>IF(IFERROR(HLOOKUP(B$2,$M$2:$BL36,$J36,FALSE),"")="","",IFERROR(HLOOKUP(B$2,$M$2:$BL36,$J36,FALSE),""))</f>
        <v/>
      </c>
      <c r="C36" s="12" t="str">
        <f>IF(IFERROR(HLOOKUP(C$2,$M$2:$BL36,$J36,FALSE),"")="","",IFERROR(HLOOKUP(C$2,$M$2:$BL36,$J36,FALSE),""))</f>
        <v/>
      </c>
      <c r="D36" s="12" t="str">
        <f>IF(IFERROR(HLOOKUP(D$2,$M$2:$BL36,$J36,FALSE),"")="","",IFERROR(HLOOKUP(D$2,$M$2:$BL36,$J36,FALSE),""))</f>
        <v/>
      </c>
      <c r="E36" s="12" t="str">
        <f>IF(IFERROR(HLOOKUP(E$2,$M$2:$BL36,$J36,FALSE),"")="","",IFERROR(HLOOKUP(E$2,$M$2:$BL36,$J36,FALSE),""))</f>
        <v/>
      </c>
      <c r="F36" s="12" t="str">
        <f>IF(IFERROR(HLOOKUP(F$2,$M$2:$BL36,$J36,FALSE),"")="","",IFERROR(HLOOKUP(F$2,$M$2:$BL36,$J36,FALSE),""))</f>
        <v/>
      </c>
      <c r="G36" s="12" t="str">
        <f>IF(IFERROR(HLOOKUP(G$2,$M$2:$BL36,$J36,FALSE),"")="","",IFERROR(HLOOKUP(G$2,$M$2:$BL36,$J36,FALSE),""))</f>
        <v/>
      </c>
      <c r="J36" s="13">
        <f t="shared" si="0"/>
        <v>35</v>
      </c>
      <c r="L36" s="12" t="s">
        <v>118</v>
      </c>
      <c r="M36" s="10"/>
      <c r="Q36" s="17"/>
      <c r="S36" s="10" t="s">
        <v>189</v>
      </c>
      <c r="T36" s="24" t="s">
        <v>328</v>
      </c>
      <c r="V36" s="23" t="s">
        <v>325</v>
      </c>
      <c r="W36" s="23" t="s">
        <v>329</v>
      </c>
      <c r="Z36" s="17" t="s">
        <v>330</v>
      </c>
      <c r="AA36" s="10"/>
    </row>
    <row r="37" spans="1:27" ht="15" customHeight="1">
      <c r="A37" s="12" t="str">
        <f t="shared" si="4"/>
        <v>BB</v>
      </c>
      <c r="B37" s="12" t="str">
        <f>IF(IFERROR(HLOOKUP(B$2,$M$2:$BL37,$J37,FALSE),"")="","",IFERROR(HLOOKUP(B$2,$M$2:$BL37,$J37,FALSE),""))</f>
        <v/>
      </c>
      <c r="C37" s="12" t="str">
        <f>IF(IFERROR(HLOOKUP(C$2,$M$2:$BL37,$J37,FALSE),"")="","",IFERROR(HLOOKUP(C$2,$M$2:$BL37,$J37,FALSE),""))</f>
        <v/>
      </c>
      <c r="D37" s="12" t="str">
        <f>IF(IFERROR(HLOOKUP(D$2,$M$2:$BL37,$J37,FALSE),"")="","",IFERROR(HLOOKUP(D$2,$M$2:$BL37,$J37,FALSE),""))</f>
        <v/>
      </c>
      <c r="E37" s="12" t="str">
        <f>IF(IFERROR(HLOOKUP(E$2,$M$2:$BL37,$J37,FALSE),"")="","",IFERROR(HLOOKUP(E$2,$M$2:$BL37,$J37,FALSE),""))</f>
        <v/>
      </c>
      <c r="F37" s="12" t="str">
        <f>IF(IFERROR(HLOOKUP(F$2,$M$2:$BL37,$J37,FALSE),"")="","",IFERROR(HLOOKUP(F$2,$M$2:$BL37,$J37,FALSE),""))</f>
        <v/>
      </c>
      <c r="G37" s="12" t="str">
        <f>IF(IFERROR(HLOOKUP(G$2,$M$2:$BL37,$J37,FALSE),"")="","",IFERROR(HLOOKUP(G$2,$M$2:$BL37,$J37,FALSE),""))</f>
        <v/>
      </c>
      <c r="J37" s="13">
        <f t="shared" si="0"/>
        <v>36</v>
      </c>
      <c r="L37" s="12" t="s">
        <v>139</v>
      </c>
      <c r="M37" s="10"/>
      <c r="Q37" s="17"/>
      <c r="S37" s="10" t="s">
        <v>331</v>
      </c>
      <c r="T37" s="23" t="s">
        <v>332</v>
      </c>
      <c r="V37" s="23" t="s">
        <v>333</v>
      </c>
      <c r="W37" s="23" t="s">
        <v>239</v>
      </c>
      <c r="Z37" s="17" t="s">
        <v>334</v>
      </c>
      <c r="AA37" s="10"/>
    </row>
    <row r="38" spans="1:27" ht="15" customHeight="1">
      <c r="A38" s="12" t="str">
        <f t="shared" si="4"/>
        <v>B</v>
      </c>
      <c r="B38" s="12" t="str">
        <f>IF(IFERROR(HLOOKUP(B$2,$M$2:$BL38,$J38,FALSE),"")="","",IFERROR(HLOOKUP(B$2,$M$2:$BL38,$J38,FALSE),""))</f>
        <v/>
      </c>
      <c r="C38" s="12" t="str">
        <f>IF(IFERROR(HLOOKUP(C$2,$M$2:$BL38,$J38,FALSE),"")="","",IFERROR(HLOOKUP(C$2,$M$2:$BL38,$J38,FALSE),""))</f>
        <v/>
      </c>
      <c r="D38" s="12" t="str">
        <f>IF(IFERROR(HLOOKUP(D$2,$M$2:$BL38,$J38,FALSE),"")="","",IFERROR(HLOOKUP(D$2,$M$2:$BL38,$J38,FALSE),""))</f>
        <v/>
      </c>
      <c r="E38" s="12" t="str">
        <f>IF(IFERROR(HLOOKUP(E$2,$M$2:$BL38,$J38,FALSE),"")="","",IFERROR(HLOOKUP(E$2,$M$2:$BL38,$J38,FALSE),""))</f>
        <v/>
      </c>
      <c r="F38" s="12" t="str">
        <f>IF(IFERROR(HLOOKUP(F$2,$M$2:$BL38,$J38,FALSE),"")="","",IFERROR(HLOOKUP(F$2,$M$2:$BL38,$J38,FALSE),""))</f>
        <v/>
      </c>
      <c r="G38" s="12" t="str">
        <f>IF(IFERROR(HLOOKUP(G$2,$M$2:$BL38,$J38,FALSE),"")="","",IFERROR(HLOOKUP(G$2,$M$2:$BL38,$J38,FALSE),""))</f>
        <v/>
      </c>
      <c r="J38" s="13">
        <f t="shared" si="0"/>
        <v>37</v>
      </c>
      <c r="L38" s="12" t="s">
        <v>179</v>
      </c>
      <c r="Q38" s="17"/>
      <c r="S38" s="12" t="s">
        <v>335</v>
      </c>
      <c r="T38" s="23" t="s">
        <v>336</v>
      </c>
      <c r="V38" s="23" t="s">
        <v>333</v>
      </c>
      <c r="W38" s="23" t="s">
        <v>212</v>
      </c>
      <c r="Z38" s="17" t="s">
        <v>337</v>
      </c>
    </row>
    <row r="39" spans="1:27" ht="15" customHeight="1">
      <c r="A39" s="12" t="str">
        <f t="shared" si="4"/>
        <v>CCC and below</v>
      </c>
      <c r="B39" s="12" t="str">
        <f>IF(IFERROR(HLOOKUP(B$2,$M$2:$BL39,$J39,FALSE),"")="","",IFERROR(HLOOKUP(B$2,$M$2:$BL39,$J39,FALSE),""))</f>
        <v/>
      </c>
      <c r="C39" s="12" t="str">
        <f>IF(IFERROR(HLOOKUP(C$2,$M$2:$BL39,$J39,FALSE),"")="","",IFERROR(HLOOKUP(C$2,$M$2:$BL39,$J39,FALSE),""))</f>
        <v/>
      </c>
      <c r="D39" s="12" t="str">
        <f>IF(IFERROR(HLOOKUP(D$2,$M$2:$BL39,$J39,FALSE),"")="","",IFERROR(HLOOKUP(D$2,$M$2:$BL39,$J39,FALSE),""))</f>
        <v/>
      </c>
      <c r="E39" s="12" t="str">
        <f>IF(IFERROR(HLOOKUP(E$2,$M$2:$BL39,$J39,FALSE),"")="","",IFERROR(HLOOKUP(E$2,$M$2:$BL39,$J39,FALSE),""))</f>
        <v/>
      </c>
      <c r="F39" s="12" t="str">
        <f>IF(IFERROR(HLOOKUP(F$2,$M$2:$BL39,$J39,FALSE),"")="","",IFERROR(HLOOKUP(F$2,$M$2:$BL39,$J39,FALSE),""))</f>
        <v/>
      </c>
      <c r="G39" s="12" t="str">
        <f>IF(IFERROR(HLOOKUP(G$2,$M$2:$BL39,$J39,FALSE),"")="","",IFERROR(HLOOKUP(G$2,$M$2:$BL39,$J39,FALSE),""))</f>
        <v/>
      </c>
      <c r="J39" s="13">
        <f t="shared" si="0"/>
        <v>38</v>
      </c>
      <c r="L39" s="12" t="s">
        <v>205</v>
      </c>
      <c r="Q39" s="17"/>
      <c r="S39" s="12" t="s">
        <v>335</v>
      </c>
      <c r="T39" s="12" t="s">
        <v>148</v>
      </c>
      <c r="V39" s="12" t="s">
        <v>148</v>
      </c>
      <c r="W39" s="12" t="s">
        <v>212</v>
      </c>
      <c r="Z39" s="17" t="s">
        <v>208</v>
      </c>
    </row>
    <row r="40" spans="1:27" s="15" customFormat="1" ht="15" customHeight="1">
      <c r="A40" s="18" t="str">
        <f>+K40</f>
        <v>Factor 5</v>
      </c>
      <c r="B40" s="18" t="str">
        <f>IF(IFERROR(HLOOKUP(B$2,$M$2:$BL40,$J40,FALSE),"")="","",IFERROR(HLOOKUP(B$2,$M$2:$BL40,$J40,FALSE),""))</f>
        <v/>
      </c>
      <c r="C40" s="18" t="str">
        <f>IF(IFERROR(HLOOKUP(C$2,$M$2:$BL40,$J40,FALSE),"")="","",IFERROR(HLOOKUP(C$2,$M$2:$BL40,$J40,FALSE),""))</f>
        <v/>
      </c>
      <c r="D40" s="18" t="str">
        <f>IF(IFERROR(HLOOKUP(D$2,$M$2:$BL40,$J40,FALSE),"")="","",IFERROR(HLOOKUP(D$2,$M$2:$BL40,$J40,FALSE),""))</f>
        <v/>
      </c>
      <c r="E40" s="18" t="str">
        <f>IF(IFERROR(HLOOKUP(E$2,$M$2:$BL40,$J40,FALSE),"")="","",IFERROR(HLOOKUP(E$2,$M$2:$BL40,$J40,FALSE),""))</f>
        <v/>
      </c>
      <c r="F40" s="18" t="str">
        <f>IF(IFERROR(HLOOKUP(F$2,$M$2:$BL40,$J40,FALSE),"")="","",IFERROR(HLOOKUP(F$2,$M$2:$BL40,$J40,FALSE),""))</f>
        <v/>
      </c>
      <c r="G40" s="18" t="str">
        <f>IF(IFERROR(HLOOKUP(G$2,$M$2:$BL40,$J40,FALSE),"")="","",IFERROR(HLOOKUP(G$2,$M$2:$BL40,$J40,FALSE),""))</f>
        <v/>
      </c>
      <c r="H40" s="18"/>
      <c r="J40" s="16">
        <f t="shared" si="0"/>
        <v>39</v>
      </c>
      <c r="K40" s="15" t="s">
        <v>338</v>
      </c>
      <c r="V40" s="15" t="s">
        <v>339</v>
      </c>
    </row>
    <row r="41" spans="1:27" ht="15" customHeight="1">
      <c r="A41" s="12" t="str">
        <f t="shared" ref="A41:A46" si="5">+L41</f>
        <v>AA and above</v>
      </c>
      <c r="B41" s="12" t="str">
        <f>IF(IFERROR(HLOOKUP(B$2,$M$2:$BL41,$J41,FALSE),"")="","",IFERROR(HLOOKUP(B$2,$M$2:$BL41,$J41,FALSE),""))</f>
        <v/>
      </c>
      <c r="C41" s="12" t="str">
        <f>IF(IFERROR(HLOOKUP(C$2,$M$2:$BL41,$J41,FALSE),"")="","",IFERROR(HLOOKUP(C$2,$M$2:$BL41,$J41,FALSE),""))</f>
        <v/>
      </c>
      <c r="D41" s="12" t="str">
        <f>IF(IFERROR(HLOOKUP(D$2,$M$2:$BL41,$J41,FALSE),"")="","",IFERROR(HLOOKUP(D$2,$M$2:$BL41,$J41,FALSE),""))</f>
        <v/>
      </c>
      <c r="E41" s="12" t="str">
        <f>IF(IFERROR(HLOOKUP(E$2,$M$2:$BL41,$J41,FALSE),"")="","",IFERROR(HLOOKUP(E$2,$M$2:$BL41,$J41,FALSE),""))</f>
        <v/>
      </c>
      <c r="F41" s="12" t="str">
        <f>IF(IFERROR(HLOOKUP(F$2,$M$2:$BL41,$J41,FALSE),"")="","",IFERROR(HLOOKUP(F$2,$M$2:$BL41,$J41,FALSE),""))</f>
        <v/>
      </c>
      <c r="G41" s="12" t="str">
        <f>IF(IFERROR(HLOOKUP(G$2,$M$2:$BL41,$J41,FALSE),"")="","",IFERROR(HLOOKUP(G$2,$M$2:$BL41,$J41,FALSE),""))</f>
        <v/>
      </c>
      <c r="J41" s="13">
        <f t="shared" si="0"/>
        <v>40</v>
      </c>
      <c r="L41" s="12" t="s">
        <v>78</v>
      </c>
      <c r="V41" s="12" t="s">
        <v>148</v>
      </c>
    </row>
    <row r="42" spans="1:27" ht="15" customHeight="1">
      <c r="A42" s="12" t="str">
        <f t="shared" si="5"/>
        <v>A</v>
      </c>
      <c r="B42" s="12" t="str">
        <f>IF(IFERROR(HLOOKUP(B$2,$M$2:$BL42,$J42,FALSE),"")="","",IFERROR(HLOOKUP(B$2,$M$2:$BL42,$J42,FALSE),""))</f>
        <v/>
      </c>
      <c r="C42" s="12" t="str">
        <f>IF(IFERROR(HLOOKUP(C$2,$M$2:$BL42,$J42,FALSE),"")="","",IFERROR(HLOOKUP(C$2,$M$2:$BL42,$J42,FALSE),""))</f>
        <v/>
      </c>
      <c r="D42" s="12" t="str">
        <f>IF(IFERROR(HLOOKUP(D$2,$M$2:$BL42,$J42,FALSE),"")="","",IFERROR(HLOOKUP(D$2,$M$2:$BL42,$J42,FALSE),""))</f>
        <v/>
      </c>
      <c r="E42" s="12" t="str">
        <f>IF(IFERROR(HLOOKUP(E$2,$M$2:$BL42,$J42,FALSE),"")="","",IFERROR(HLOOKUP(E$2,$M$2:$BL42,$J42,FALSE),""))</f>
        <v/>
      </c>
      <c r="F42" s="12" t="str">
        <f>IF(IFERROR(HLOOKUP(F$2,$M$2:$BL42,$J42,FALSE),"")="","",IFERROR(HLOOKUP(F$2,$M$2:$BL42,$J42,FALSE),""))</f>
        <v/>
      </c>
      <c r="G42" s="12" t="str">
        <f>IF(IFERROR(HLOOKUP(G$2,$M$2:$BL42,$J42,FALSE),"")="","",IFERROR(HLOOKUP(G$2,$M$2:$BL42,$J42,FALSE),""))</f>
        <v/>
      </c>
      <c r="J42" s="13">
        <f t="shared" si="0"/>
        <v>41</v>
      </c>
      <c r="L42" s="12" t="s">
        <v>8</v>
      </c>
      <c r="V42" s="12" t="s">
        <v>340</v>
      </c>
    </row>
    <row r="43" spans="1:27" ht="15" customHeight="1">
      <c r="A43" s="12" t="str">
        <f t="shared" si="5"/>
        <v>BBB</v>
      </c>
      <c r="B43" s="12" t="str">
        <f>IF(IFERROR(HLOOKUP(B$2,$M$2:$BL43,$J43,FALSE),"")="","",IFERROR(HLOOKUP(B$2,$M$2:$BL43,$J43,FALSE),""))</f>
        <v/>
      </c>
      <c r="C43" s="12" t="str">
        <f>IF(IFERROR(HLOOKUP(C$2,$M$2:$BL43,$J43,FALSE),"")="","",IFERROR(HLOOKUP(C$2,$M$2:$BL43,$J43,FALSE),""))</f>
        <v/>
      </c>
      <c r="D43" s="12" t="str">
        <f>IF(IFERROR(HLOOKUP(D$2,$M$2:$BL43,$J43,FALSE),"")="","",IFERROR(HLOOKUP(D$2,$M$2:$BL43,$J43,FALSE),""))</f>
        <v/>
      </c>
      <c r="E43" s="12" t="str">
        <f>IF(IFERROR(HLOOKUP(E$2,$M$2:$BL43,$J43,FALSE),"")="","",IFERROR(HLOOKUP(E$2,$M$2:$BL43,$J43,FALSE),""))</f>
        <v/>
      </c>
      <c r="F43" s="12" t="str">
        <f>IF(IFERROR(HLOOKUP(F$2,$M$2:$BL43,$J43,FALSE),"")="","",IFERROR(HLOOKUP(F$2,$M$2:$BL43,$J43,FALSE),""))</f>
        <v/>
      </c>
      <c r="G43" s="12" t="str">
        <f>IF(IFERROR(HLOOKUP(G$2,$M$2:$BL43,$J43,FALSE),"")="","",IFERROR(HLOOKUP(G$2,$M$2:$BL43,$J43,FALSE),""))</f>
        <v/>
      </c>
      <c r="J43" s="13">
        <f t="shared" si="0"/>
        <v>42</v>
      </c>
      <c r="L43" s="12" t="s">
        <v>118</v>
      </c>
      <c r="V43" s="12" t="s">
        <v>340</v>
      </c>
    </row>
    <row r="44" spans="1:27" ht="15" customHeight="1">
      <c r="A44" s="12" t="str">
        <f t="shared" si="5"/>
        <v>BB</v>
      </c>
      <c r="B44" s="12" t="str">
        <f>IF(IFERROR(HLOOKUP(B$2,$M$2:$BL44,$J44,FALSE),"")="","",IFERROR(HLOOKUP(B$2,$M$2:$BL44,$J44,FALSE),""))</f>
        <v/>
      </c>
      <c r="C44" s="12" t="str">
        <f>IF(IFERROR(HLOOKUP(C$2,$M$2:$BL44,$J44,FALSE),"")="","",IFERROR(HLOOKUP(C$2,$M$2:$BL44,$J44,FALSE),""))</f>
        <v/>
      </c>
      <c r="D44" s="12" t="str">
        <f>IF(IFERROR(HLOOKUP(D$2,$M$2:$BL44,$J44,FALSE),"")="","",IFERROR(HLOOKUP(D$2,$M$2:$BL44,$J44,FALSE),""))</f>
        <v/>
      </c>
      <c r="E44" s="12" t="str">
        <f>IF(IFERROR(HLOOKUP(E$2,$M$2:$BL44,$J44,FALSE),"")="","",IFERROR(HLOOKUP(E$2,$M$2:$BL44,$J44,FALSE),""))</f>
        <v/>
      </c>
      <c r="F44" s="12" t="str">
        <f>IF(IFERROR(HLOOKUP(F$2,$M$2:$BL44,$J44,FALSE),"")="","",IFERROR(HLOOKUP(F$2,$M$2:$BL44,$J44,FALSE),""))</f>
        <v/>
      </c>
      <c r="G44" s="12" t="str">
        <f>IF(IFERROR(HLOOKUP(G$2,$M$2:$BL44,$J44,FALSE),"")="","",IFERROR(HLOOKUP(G$2,$M$2:$BL44,$J44,FALSE),""))</f>
        <v/>
      </c>
      <c r="J44" s="13">
        <f t="shared" si="0"/>
        <v>43</v>
      </c>
      <c r="L44" s="12" t="s">
        <v>139</v>
      </c>
      <c r="V44" s="12" t="s">
        <v>341</v>
      </c>
    </row>
    <row r="45" spans="1:27" ht="15" customHeight="1">
      <c r="A45" s="12" t="str">
        <f t="shared" si="5"/>
        <v>B</v>
      </c>
      <c r="B45" s="12" t="str">
        <f>IF(IFERROR(HLOOKUP(B$2,$M$2:$BL45,$J45,FALSE),"")="","",IFERROR(HLOOKUP(B$2,$M$2:$BL45,$J45,FALSE),""))</f>
        <v/>
      </c>
      <c r="C45" s="12" t="str">
        <f>IF(IFERROR(HLOOKUP(C$2,$M$2:$BL45,$J45,FALSE),"")="","",IFERROR(HLOOKUP(C$2,$M$2:$BL45,$J45,FALSE),""))</f>
        <v/>
      </c>
      <c r="D45" s="12" t="str">
        <f>IF(IFERROR(HLOOKUP(D$2,$M$2:$BL45,$J45,FALSE),"")="","",IFERROR(HLOOKUP(D$2,$M$2:$BL45,$J45,FALSE),""))</f>
        <v/>
      </c>
      <c r="E45" s="12" t="str">
        <f>IF(IFERROR(HLOOKUP(E$2,$M$2:$BL45,$J45,FALSE),"")="","",IFERROR(HLOOKUP(E$2,$M$2:$BL45,$J45,FALSE),""))</f>
        <v/>
      </c>
      <c r="F45" s="12" t="str">
        <f>IF(IFERROR(HLOOKUP(F$2,$M$2:$BL45,$J45,FALSE),"")="","",IFERROR(HLOOKUP(F$2,$M$2:$BL45,$J45,FALSE),""))</f>
        <v/>
      </c>
      <c r="G45" s="12" t="str">
        <f>IF(IFERROR(HLOOKUP(G$2,$M$2:$BL45,$J45,FALSE),"")="","",IFERROR(HLOOKUP(G$2,$M$2:$BL45,$J45,FALSE),""))</f>
        <v/>
      </c>
      <c r="J45" s="13">
        <f t="shared" si="0"/>
        <v>44</v>
      </c>
      <c r="L45" s="12" t="s">
        <v>179</v>
      </c>
      <c r="V45" s="12" t="s">
        <v>341</v>
      </c>
    </row>
    <row r="46" spans="1:27" ht="15" customHeight="1">
      <c r="A46" s="12" t="str">
        <f t="shared" si="5"/>
        <v>CCC and below</v>
      </c>
      <c r="B46" s="12" t="str">
        <f>IF(IFERROR(HLOOKUP(B$2,$M$2:$BL46,$J46,FALSE),"")="","",IFERROR(HLOOKUP(B$2,$M$2:$BL46,$J46,FALSE),""))</f>
        <v/>
      </c>
      <c r="C46" s="12" t="str">
        <f>IF(IFERROR(HLOOKUP(C$2,$M$2:$BL46,$J46,FALSE),"")="","",IFERROR(HLOOKUP(C$2,$M$2:$BL46,$J46,FALSE),""))</f>
        <v/>
      </c>
      <c r="D46" s="12" t="str">
        <f>IF(IFERROR(HLOOKUP(D$2,$M$2:$BL46,$J46,FALSE),"")="","",IFERROR(HLOOKUP(D$2,$M$2:$BL46,$J46,FALSE),""))</f>
        <v/>
      </c>
      <c r="E46" s="12" t="str">
        <f>IF(IFERROR(HLOOKUP(E$2,$M$2:$BL46,$J46,FALSE),"")="","",IFERROR(HLOOKUP(E$2,$M$2:$BL46,$J46,FALSE),""))</f>
        <v/>
      </c>
      <c r="F46" s="12" t="str">
        <f>IF(IFERROR(HLOOKUP(F$2,$M$2:$BL46,$J46,FALSE),"")="","",IFERROR(HLOOKUP(F$2,$M$2:$BL46,$J46,FALSE),""))</f>
        <v/>
      </c>
      <c r="G46" s="12" t="str">
        <f>IF(IFERROR(HLOOKUP(G$2,$M$2:$BL46,$J46,FALSE),"")="","",IFERROR(HLOOKUP(G$2,$M$2:$BL46,$J46,FALSE),""))</f>
        <v/>
      </c>
      <c r="J46" s="13">
        <f t="shared" si="0"/>
        <v>45</v>
      </c>
      <c r="L46" s="12" t="s">
        <v>205</v>
      </c>
      <c r="V46" s="12" t="s">
        <v>148</v>
      </c>
    </row>
    <row r="47" spans="1:27">
      <c r="J47" s="13">
        <f t="shared" si="0"/>
        <v>46</v>
      </c>
    </row>
    <row r="48" spans="1:27">
      <c r="B48" s="15" t="s">
        <v>342</v>
      </c>
      <c r="C48" s="15" t="s">
        <v>343</v>
      </c>
      <c r="D48" s="15" t="s">
        <v>344</v>
      </c>
      <c r="E48" s="15" t="s">
        <v>345</v>
      </c>
      <c r="F48" s="15" t="s">
        <v>346</v>
      </c>
      <c r="G48" s="15" t="s">
        <v>347</v>
      </c>
      <c r="H48" s="15"/>
      <c r="J48" s="13">
        <f t="shared" si="0"/>
        <v>47</v>
      </c>
    </row>
    <row r="49" spans="1:26">
      <c r="B49" s="15" t="s">
        <v>348</v>
      </c>
      <c r="C49" s="15" t="s">
        <v>349</v>
      </c>
      <c r="D49" s="15" t="s">
        <v>350</v>
      </c>
      <c r="E49" s="15" t="s">
        <v>351</v>
      </c>
      <c r="F49" s="15" t="s">
        <v>352</v>
      </c>
      <c r="G49" s="15" t="s">
        <v>353</v>
      </c>
      <c r="H49" s="15"/>
      <c r="J49" s="13">
        <f t="shared" si="0"/>
        <v>48</v>
      </c>
    </row>
    <row r="50" spans="1:26">
      <c r="B50" s="15" t="s">
        <v>354</v>
      </c>
      <c r="C50" s="15" t="s">
        <v>355</v>
      </c>
      <c r="D50" s="15" t="s">
        <v>356</v>
      </c>
      <c r="E50" s="15" t="s">
        <v>357</v>
      </c>
      <c r="F50" s="15" t="s">
        <v>358</v>
      </c>
      <c r="G50" s="15" t="s">
        <v>359</v>
      </c>
      <c r="H50" s="15"/>
      <c r="J50" s="13">
        <f t="shared" si="0"/>
        <v>49</v>
      </c>
    </row>
    <row r="51" spans="1:26">
      <c r="B51" s="15" t="s">
        <v>360</v>
      </c>
      <c r="C51" s="15" t="s">
        <v>361</v>
      </c>
      <c r="D51" s="15" t="s">
        <v>362</v>
      </c>
      <c r="E51" s="15" t="s">
        <v>363</v>
      </c>
      <c r="F51" s="15" t="s">
        <v>364</v>
      </c>
      <c r="G51" s="15" t="s">
        <v>365</v>
      </c>
      <c r="H51" s="15"/>
      <c r="J51" s="13">
        <f t="shared" si="0"/>
        <v>50</v>
      </c>
    </row>
    <row r="52" spans="1:26">
      <c r="B52" s="15" t="s">
        <v>366</v>
      </c>
      <c r="C52" s="15" t="s">
        <v>367</v>
      </c>
      <c r="D52" s="15" t="s">
        <v>368</v>
      </c>
      <c r="E52" s="15" t="s">
        <v>369</v>
      </c>
      <c r="F52" s="15" t="s">
        <v>370</v>
      </c>
      <c r="G52" s="15" t="s">
        <v>371</v>
      </c>
      <c r="H52" s="15"/>
      <c r="J52" s="13">
        <f t="shared" si="0"/>
        <v>51</v>
      </c>
    </row>
    <row r="53" spans="1:26">
      <c r="J53" s="13">
        <f t="shared" si="0"/>
        <v>52</v>
      </c>
    </row>
    <row r="54" spans="1:26" ht="15" customHeight="1">
      <c r="J54" s="13">
        <f t="shared" si="0"/>
        <v>53</v>
      </c>
    </row>
    <row r="55" spans="1:26" ht="15" customHeight="1">
      <c r="A55" s="20" t="s">
        <v>372</v>
      </c>
      <c r="J55" s="13">
        <f t="shared" si="0"/>
        <v>54</v>
      </c>
      <c r="K55" s="14" t="s">
        <v>25</v>
      </c>
    </row>
    <row r="56" spans="1:26" s="15" customFormat="1" ht="15" customHeight="1">
      <c r="A56" s="18" t="str">
        <f>+K56</f>
        <v>Factor 1</v>
      </c>
      <c r="B56" s="18" t="str">
        <f>IF(IFERROR(HLOOKUP(B$2,$M$2:$BL56,$J56,FALSE),"")="","",IFERROR(HLOOKUP(B$2,$M$2:$BL56,$J56,FALSE),""))</f>
        <v/>
      </c>
      <c r="C56" s="18" t="str">
        <f>IF(IFERROR(HLOOKUP(C$2,$M$2:$BL56,$J56,FALSE),"")="","",IFERROR(HLOOKUP(C$2,$M$2:$BL56,$J56,FALSE),""))</f>
        <v/>
      </c>
      <c r="D56" s="18" t="str">
        <f>IF(IFERROR(HLOOKUP(D$2,$M$2:$BL56,$J56,FALSE),"")="","",IFERROR(HLOOKUP(D$2,$M$2:$BL56,$J56,FALSE),""))</f>
        <v/>
      </c>
      <c r="E56" s="18" t="str">
        <f>IF(IFERROR(HLOOKUP(E$2,$M$2:$BL56,$J56,FALSE),"")="","",IFERROR(HLOOKUP(E$2,$M$2:$BL56,$J56,FALSE),""))</f>
        <v/>
      </c>
      <c r="F56" s="18" t="str">
        <f>IF(IFERROR(HLOOKUP(F$2,$M$2:$BL56,$J56,FALSE),"")="","",IFERROR(HLOOKUP(F$2,$M$2:$BL56,$J56,FALSE),""))</f>
        <v/>
      </c>
      <c r="G56" s="18" t="str">
        <f>IF(IFERROR(HLOOKUP(G$2,$M$2:$BL56,$J56,FALSE),"")="","",IFERROR(HLOOKUP(G$2,$M$2:$BL56,$J56,FALSE),""))</f>
        <v/>
      </c>
      <c r="H56" s="18"/>
      <c r="J56" s="16">
        <f t="shared" si="0"/>
        <v>55</v>
      </c>
      <c r="K56" s="15" t="s">
        <v>124</v>
      </c>
      <c r="M56" s="15" t="s">
        <v>373</v>
      </c>
      <c r="N56" s="15" t="s">
        <v>374</v>
      </c>
      <c r="O56" s="15" t="s">
        <v>375</v>
      </c>
      <c r="P56" s="15" t="s">
        <v>376</v>
      </c>
      <c r="Q56" s="15" t="s">
        <v>373</v>
      </c>
      <c r="R56" s="15" t="s">
        <v>377</v>
      </c>
      <c r="S56" s="15" t="s">
        <v>375</v>
      </c>
      <c r="T56" s="15" t="s">
        <v>375</v>
      </c>
      <c r="V56" s="15" t="s">
        <v>376</v>
      </c>
      <c r="W56" s="15" t="s">
        <v>375</v>
      </c>
      <c r="X56" s="15" t="s">
        <v>376</v>
      </c>
      <c r="Y56" s="15" t="s">
        <v>376</v>
      </c>
      <c r="Z56" s="15" t="s">
        <v>378</v>
      </c>
    </row>
    <row r="57" spans="1:26" ht="15" customHeight="1">
      <c r="A57" s="12" t="str">
        <f t="shared" ref="A57:A62" si="6">+L57</f>
        <v>AA and above</v>
      </c>
      <c r="B57" s="12" t="str">
        <f>IF(IFERROR(HLOOKUP(B$2,$M$2:$BL57,$J57,FALSE),"")="","",IFERROR(HLOOKUP(B$2,$M$2:$BL57,$J57,FALSE),""))</f>
        <v/>
      </c>
      <c r="C57" s="12" t="str">
        <f>IF(IFERROR(HLOOKUP(C$2,$M$2:$BL57,$J57,FALSE),"")="","",IFERROR(HLOOKUP(C$2,$M$2:$BL57,$J57,FALSE),""))</f>
        <v/>
      </c>
      <c r="D57" s="12" t="str">
        <f>IF(IFERROR(HLOOKUP(D$2,$M$2:$BL57,$J57,FALSE),"")="","",IFERROR(HLOOKUP(D$2,$M$2:$BL57,$J57,FALSE),""))</f>
        <v/>
      </c>
      <c r="E57" s="12" t="str">
        <f>IF(IFERROR(HLOOKUP(E$2,$M$2:$BL57,$J57,FALSE),"")="","",IFERROR(HLOOKUP(E$2,$M$2:$BL57,$J57,FALSE),""))</f>
        <v/>
      </c>
      <c r="F57" s="12" t="str">
        <f>IF(IFERROR(HLOOKUP(F$2,$M$2:$BL57,$J57,FALSE),"")="","",IFERROR(HLOOKUP(F$2,$M$2:$BL57,$J57,FALSE),""))</f>
        <v/>
      </c>
      <c r="G57" s="12" t="str">
        <f>IF(IFERROR(HLOOKUP(G$2,$M$2:$BL57,$J57,FALSE),"")="","",IFERROR(HLOOKUP(G$2,$M$2:$BL57,$J57,FALSE),""))</f>
        <v/>
      </c>
      <c r="J57" s="13">
        <f t="shared" si="0"/>
        <v>56</v>
      </c>
      <c r="L57" s="12" t="s">
        <v>78</v>
      </c>
      <c r="M57" s="12" t="s">
        <v>379</v>
      </c>
      <c r="N57" s="12" t="s">
        <v>149</v>
      </c>
      <c r="O57" s="12" t="s">
        <v>380</v>
      </c>
      <c r="P57" s="12" t="s">
        <v>381</v>
      </c>
      <c r="Q57" s="12" t="s">
        <v>382</v>
      </c>
      <c r="R57" s="12" t="s">
        <v>383</v>
      </c>
      <c r="S57" s="12" t="s">
        <v>384</v>
      </c>
      <c r="T57" s="12" t="s">
        <v>385</v>
      </c>
      <c r="V57" s="12" t="s">
        <v>148</v>
      </c>
      <c r="W57" s="12" t="s">
        <v>386</v>
      </c>
      <c r="X57" s="12" t="s">
        <v>387</v>
      </c>
      <c r="Y57" s="12" t="s">
        <v>387</v>
      </c>
      <c r="Z57" s="12" t="s">
        <v>388</v>
      </c>
    </row>
    <row r="58" spans="1:26" ht="15" customHeight="1">
      <c r="A58" s="12" t="str">
        <f t="shared" si="6"/>
        <v>A</v>
      </c>
      <c r="B58" s="12" t="str">
        <f>IF(IFERROR(HLOOKUP(B$2,$M$2:$BL58,$J58,FALSE),"")="","",IFERROR(HLOOKUP(B$2,$M$2:$BL58,$J58,FALSE),""))</f>
        <v/>
      </c>
      <c r="C58" s="12" t="str">
        <f>IF(IFERROR(HLOOKUP(C$2,$M$2:$BL58,$J58,FALSE),"")="","",IFERROR(HLOOKUP(C$2,$M$2:$BL58,$J58,FALSE),""))</f>
        <v/>
      </c>
      <c r="D58" s="12" t="str">
        <f>IF(IFERROR(HLOOKUP(D$2,$M$2:$BL58,$J58,FALSE),"")="","",IFERROR(HLOOKUP(D$2,$M$2:$BL58,$J58,FALSE),""))</f>
        <v/>
      </c>
      <c r="E58" s="12" t="str">
        <f>IF(IFERROR(HLOOKUP(E$2,$M$2:$BL58,$J58,FALSE),"")="","",IFERROR(HLOOKUP(E$2,$M$2:$BL58,$J58,FALSE),""))</f>
        <v/>
      </c>
      <c r="F58" s="12" t="str">
        <f>IF(IFERROR(HLOOKUP(F$2,$M$2:$BL58,$J58,FALSE),"")="","",IFERROR(HLOOKUP(F$2,$M$2:$BL58,$J58,FALSE),""))</f>
        <v/>
      </c>
      <c r="G58" s="12" t="str">
        <f>IF(IFERROR(HLOOKUP(G$2,$M$2:$BL58,$J58,FALSE),"")="","",IFERROR(HLOOKUP(G$2,$M$2:$BL58,$J58,FALSE),""))</f>
        <v/>
      </c>
      <c r="J58" s="13">
        <f t="shared" si="0"/>
        <v>57</v>
      </c>
      <c r="L58" s="12" t="s">
        <v>8</v>
      </c>
      <c r="M58" s="12" t="s">
        <v>389</v>
      </c>
      <c r="N58" s="12" t="s">
        <v>163</v>
      </c>
      <c r="O58" s="12" t="s">
        <v>380</v>
      </c>
      <c r="P58" s="12" t="s">
        <v>390</v>
      </c>
      <c r="Q58" s="12" t="s">
        <v>382</v>
      </c>
      <c r="R58" s="12" t="s">
        <v>383</v>
      </c>
      <c r="S58" s="12" t="s">
        <v>384</v>
      </c>
      <c r="T58" s="12" t="s">
        <v>391</v>
      </c>
      <c r="V58" s="12" t="s">
        <v>392</v>
      </c>
      <c r="W58" s="12" t="s">
        <v>393</v>
      </c>
      <c r="X58" s="12" t="s">
        <v>394</v>
      </c>
      <c r="Y58" s="12" t="s">
        <v>394</v>
      </c>
      <c r="Z58" s="12" t="s">
        <v>388</v>
      </c>
    </row>
    <row r="59" spans="1:26" ht="15" customHeight="1">
      <c r="A59" s="12" t="str">
        <f t="shared" si="6"/>
        <v>BBB</v>
      </c>
      <c r="B59" s="12" t="str">
        <f>IF(IFERROR(HLOOKUP(B$2,$M$2:$BL59,$J59,FALSE),"")="","",IFERROR(HLOOKUP(B$2,$M$2:$BL59,$J59,FALSE),""))</f>
        <v/>
      </c>
      <c r="C59" s="12" t="str">
        <f>IF(IFERROR(HLOOKUP(C$2,$M$2:$BL59,$J59,FALSE),"")="","",IFERROR(HLOOKUP(C$2,$M$2:$BL59,$J59,FALSE),""))</f>
        <v/>
      </c>
      <c r="D59" s="12" t="str">
        <f>IF(IFERROR(HLOOKUP(D$2,$M$2:$BL59,$J59,FALSE),"")="","",IFERROR(HLOOKUP(D$2,$M$2:$BL59,$J59,FALSE),""))</f>
        <v/>
      </c>
      <c r="E59" s="12" t="str">
        <f>IF(IFERROR(HLOOKUP(E$2,$M$2:$BL59,$J59,FALSE),"")="","",IFERROR(HLOOKUP(E$2,$M$2:$BL59,$J59,FALSE),""))</f>
        <v/>
      </c>
      <c r="F59" s="12" t="str">
        <f>IF(IFERROR(HLOOKUP(F$2,$M$2:$BL59,$J59,FALSE),"")="","",IFERROR(HLOOKUP(F$2,$M$2:$BL59,$J59,FALSE),""))</f>
        <v/>
      </c>
      <c r="G59" s="12" t="str">
        <f>IF(IFERROR(HLOOKUP(G$2,$M$2:$BL59,$J59,FALSE),"")="","",IFERROR(HLOOKUP(G$2,$M$2:$BL59,$J59,FALSE),""))</f>
        <v/>
      </c>
      <c r="J59" s="13">
        <f t="shared" si="0"/>
        <v>58</v>
      </c>
      <c r="L59" s="12" t="s">
        <v>118</v>
      </c>
      <c r="M59" s="12" t="s">
        <v>395</v>
      </c>
      <c r="N59" s="12" t="s">
        <v>176</v>
      </c>
      <c r="O59" s="12" t="s">
        <v>396</v>
      </c>
      <c r="P59" s="12" t="s">
        <v>397</v>
      </c>
      <c r="Q59" s="12" t="s">
        <v>382</v>
      </c>
      <c r="R59" s="12" t="s">
        <v>398</v>
      </c>
      <c r="S59" s="12" t="s">
        <v>399</v>
      </c>
      <c r="T59" s="12" t="s">
        <v>400</v>
      </c>
      <c r="V59" s="12" t="s">
        <v>401</v>
      </c>
      <c r="W59" s="12" t="s">
        <v>402</v>
      </c>
      <c r="X59" s="12" t="s">
        <v>403</v>
      </c>
      <c r="Y59" s="12" t="s">
        <v>403</v>
      </c>
      <c r="Z59" s="12" t="s">
        <v>404</v>
      </c>
    </row>
    <row r="60" spans="1:26" ht="15" customHeight="1">
      <c r="A60" s="12" t="str">
        <f t="shared" si="6"/>
        <v>BB</v>
      </c>
      <c r="B60" s="12" t="str">
        <f>IF(IFERROR(HLOOKUP(B$2,$M$2:$BL60,$J60,FALSE),"")="","",IFERROR(HLOOKUP(B$2,$M$2:$BL60,$J60,FALSE),""))</f>
        <v/>
      </c>
      <c r="C60" s="12" t="str">
        <f>IF(IFERROR(HLOOKUP(C$2,$M$2:$BL60,$J60,FALSE),"")="","",IFERROR(HLOOKUP(C$2,$M$2:$BL60,$J60,FALSE),""))</f>
        <v/>
      </c>
      <c r="D60" s="12" t="str">
        <f>IF(IFERROR(HLOOKUP(D$2,$M$2:$BL60,$J60,FALSE),"")="","",IFERROR(HLOOKUP(D$2,$M$2:$BL60,$J60,FALSE),""))</f>
        <v/>
      </c>
      <c r="E60" s="12" t="str">
        <f>IF(IFERROR(HLOOKUP(E$2,$M$2:$BL60,$J60,FALSE),"")="","",IFERROR(HLOOKUP(E$2,$M$2:$BL60,$J60,FALSE),""))</f>
        <v/>
      </c>
      <c r="F60" s="12" t="str">
        <f>IF(IFERROR(HLOOKUP(F$2,$M$2:$BL60,$J60,FALSE),"")="","",IFERROR(HLOOKUP(F$2,$M$2:$BL60,$J60,FALSE),""))</f>
        <v/>
      </c>
      <c r="G60" s="12" t="str">
        <f>IF(IFERROR(HLOOKUP(G$2,$M$2:$BL60,$J60,FALSE),"")="","",IFERROR(HLOOKUP(G$2,$M$2:$BL60,$J60,FALSE),""))</f>
        <v/>
      </c>
      <c r="J60" s="13">
        <f t="shared" si="0"/>
        <v>59</v>
      </c>
      <c r="L60" s="12" t="s">
        <v>139</v>
      </c>
      <c r="M60" s="12" t="s">
        <v>405</v>
      </c>
      <c r="N60" s="12" t="s">
        <v>189</v>
      </c>
      <c r="O60" s="12" t="s">
        <v>406</v>
      </c>
      <c r="P60" s="12" t="s">
        <v>407</v>
      </c>
      <c r="Q60" s="12" t="s">
        <v>408</v>
      </c>
      <c r="R60" s="12" t="s">
        <v>409</v>
      </c>
      <c r="S60" s="12" t="s">
        <v>410</v>
      </c>
      <c r="T60" s="12" t="s">
        <v>411</v>
      </c>
      <c r="V60" s="12" t="s">
        <v>412</v>
      </c>
      <c r="W60" s="12" t="s">
        <v>413</v>
      </c>
      <c r="X60" s="12" t="s">
        <v>414</v>
      </c>
      <c r="Y60" s="12" t="s">
        <v>414</v>
      </c>
      <c r="Z60" s="12" t="s">
        <v>415</v>
      </c>
    </row>
    <row r="61" spans="1:26" ht="15" customHeight="1">
      <c r="A61" s="12" t="str">
        <f t="shared" si="6"/>
        <v>B</v>
      </c>
      <c r="B61" s="12" t="str">
        <f>IF(IFERROR(HLOOKUP(B$2,$M$2:$BL61,$J61,FALSE),"")="","",IFERROR(HLOOKUP(B$2,$M$2:$BL61,$J61,FALSE),""))</f>
        <v/>
      </c>
      <c r="C61" s="12" t="str">
        <f>IF(IFERROR(HLOOKUP(C$2,$M$2:$BL61,$J61,FALSE),"")="","",IFERROR(HLOOKUP(C$2,$M$2:$BL61,$J61,FALSE),""))</f>
        <v/>
      </c>
      <c r="D61" s="12" t="str">
        <f>IF(IFERROR(HLOOKUP(D$2,$M$2:$BL61,$J61,FALSE),"")="","",IFERROR(HLOOKUP(D$2,$M$2:$BL61,$J61,FALSE),""))</f>
        <v/>
      </c>
      <c r="E61" s="12" t="str">
        <f>IF(IFERROR(HLOOKUP(E$2,$M$2:$BL61,$J61,FALSE),"")="","",IFERROR(HLOOKUP(E$2,$M$2:$BL61,$J61,FALSE),""))</f>
        <v/>
      </c>
      <c r="F61" s="12" t="str">
        <f>IF(IFERROR(HLOOKUP(F$2,$M$2:$BL61,$J61,FALSE),"")="","",IFERROR(HLOOKUP(F$2,$M$2:$BL61,$J61,FALSE),""))</f>
        <v/>
      </c>
      <c r="G61" s="12" t="str">
        <f>IF(IFERROR(HLOOKUP(G$2,$M$2:$BL61,$J61,FALSE),"")="","",IFERROR(HLOOKUP(G$2,$M$2:$BL61,$J61,FALSE),""))</f>
        <v/>
      </c>
      <c r="J61" s="13">
        <f t="shared" si="0"/>
        <v>60</v>
      </c>
      <c r="L61" s="12" t="s">
        <v>179</v>
      </c>
      <c r="M61" s="12" t="s">
        <v>416</v>
      </c>
      <c r="N61" s="12" t="s">
        <v>331</v>
      </c>
      <c r="O61" s="12" t="s">
        <v>417</v>
      </c>
      <c r="P61" s="12" t="s">
        <v>418</v>
      </c>
      <c r="Q61" s="12" t="s">
        <v>408</v>
      </c>
      <c r="R61" s="12" t="s">
        <v>419</v>
      </c>
      <c r="S61" s="12" t="s">
        <v>420</v>
      </c>
      <c r="T61" s="12" t="s">
        <v>421</v>
      </c>
      <c r="V61" s="12" t="s">
        <v>422</v>
      </c>
      <c r="W61" s="12" t="s">
        <v>423</v>
      </c>
      <c r="X61" s="12" t="s">
        <v>414</v>
      </c>
      <c r="Y61" s="12" t="s">
        <v>414</v>
      </c>
      <c r="Z61" s="12" t="s">
        <v>424</v>
      </c>
    </row>
    <row r="62" spans="1:26" ht="15" customHeight="1">
      <c r="A62" s="12" t="str">
        <f t="shared" si="6"/>
        <v>CCC and below</v>
      </c>
      <c r="B62" s="12" t="str">
        <f>IF(IFERROR(HLOOKUP(B$2,$M$2:$BL62,$J62,FALSE),"")="","",IFERROR(HLOOKUP(B$2,$M$2:$BL62,$J62,FALSE),""))</f>
        <v/>
      </c>
      <c r="C62" s="12" t="str">
        <f>IF(IFERROR(HLOOKUP(C$2,$M$2:$BL62,$J62,FALSE),"")="","",IFERROR(HLOOKUP(C$2,$M$2:$BL62,$J62,FALSE),""))</f>
        <v/>
      </c>
      <c r="D62" s="12" t="str">
        <f>IF(IFERROR(HLOOKUP(D$2,$M$2:$BL62,$J62,FALSE),"")="","",IFERROR(HLOOKUP(D$2,$M$2:$BL62,$J62,FALSE),""))</f>
        <v/>
      </c>
      <c r="E62" s="12" t="str">
        <f>IF(IFERROR(HLOOKUP(E$2,$M$2:$BL62,$J62,FALSE),"")="","",IFERROR(HLOOKUP(E$2,$M$2:$BL62,$J62,FALSE),""))</f>
        <v/>
      </c>
      <c r="F62" s="12" t="str">
        <f>IF(IFERROR(HLOOKUP(F$2,$M$2:$BL62,$J62,FALSE),"")="","",IFERROR(HLOOKUP(F$2,$M$2:$BL62,$J62,FALSE),""))</f>
        <v/>
      </c>
      <c r="G62" s="12" t="str">
        <f>IF(IFERROR(HLOOKUP(G$2,$M$2:$BL62,$J62,FALSE),"")="","",IFERROR(HLOOKUP(G$2,$M$2:$BL62,$J62,FALSE),""))</f>
        <v/>
      </c>
      <c r="J62" s="13">
        <f t="shared" si="0"/>
        <v>61</v>
      </c>
      <c r="L62" s="12" t="s">
        <v>205</v>
      </c>
      <c r="M62" s="12" t="s">
        <v>425</v>
      </c>
      <c r="N62" s="12" t="s">
        <v>335</v>
      </c>
      <c r="O62" s="12" t="s">
        <v>426</v>
      </c>
      <c r="P62" s="12" t="s">
        <v>427</v>
      </c>
      <c r="Q62" s="12" t="s">
        <v>428</v>
      </c>
      <c r="R62" s="12" t="s">
        <v>429</v>
      </c>
      <c r="S62" s="12" t="s">
        <v>420</v>
      </c>
      <c r="T62" s="12" t="s">
        <v>148</v>
      </c>
      <c r="V62" s="12" t="s">
        <v>148</v>
      </c>
      <c r="W62" s="12" t="s">
        <v>423</v>
      </c>
      <c r="X62" s="12" t="s">
        <v>148</v>
      </c>
      <c r="Y62" s="12" t="s">
        <v>148</v>
      </c>
      <c r="Z62" s="12" t="s">
        <v>424</v>
      </c>
    </row>
    <row r="63" spans="1:26" s="15" customFormat="1" ht="15" customHeight="1">
      <c r="A63" s="18" t="str">
        <f>+K63</f>
        <v>Factor 2</v>
      </c>
      <c r="B63" s="18" t="str">
        <f>IF(IFERROR(HLOOKUP(B$2,$M$2:$BL63,$J63,FALSE),"")="","",IFERROR(HLOOKUP(B$2,$M$2:$BL63,$J63,FALSE),""))</f>
        <v/>
      </c>
      <c r="C63" s="18" t="str">
        <f>IF(IFERROR(HLOOKUP(C$2,$M$2:$BL63,$J63,FALSE),"")="","",IFERROR(HLOOKUP(C$2,$M$2:$BL63,$J63,FALSE),""))</f>
        <v/>
      </c>
      <c r="D63" s="18" t="str">
        <f>IF(IFERROR(HLOOKUP(D$2,$M$2:$BL63,$J63,FALSE),"")="","",IFERROR(HLOOKUP(D$2,$M$2:$BL63,$J63,FALSE),""))</f>
        <v/>
      </c>
      <c r="E63" s="18" t="str">
        <f>IF(IFERROR(HLOOKUP(E$2,$M$2:$BL63,$J63,FALSE),"")="","",IFERROR(HLOOKUP(E$2,$M$2:$BL63,$J63,FALSE),""))</f>
        <v/>
      </c>
      <c r="F63" s="18" t="str">
        <f>IF(IFERROR(HLOOKUP(F$2,$M$2:$BL63,$J63,FALSE),"")="","",IFERROR(HLOOKUP(F$2,$M$2:$BL63,$J63,FALSE),""))</f>
        <v/>
      </c>
      <c r="G63" s="18" t="str">
        <f>IF(IFERROR(HLOOKUP(G$2,$M$2:$BL63,$J63,FALSE),"")="","",IFERROR(HLOOKUP(G$2,$M$2:$BL63,$J63,FALSE),""))</f>
        <v/>
      </c>
      <c r="H63" s="18"/>
      <c r="J63" s="16">
        <f t="shared" si="0"/>
        <v>62</v>
      </c>
      <c r="K63" s="15" t="s">
        <v>214</v>
      </c>
      <c r="M63" s="15" t="s">
        <v>430</v>
      </c>
      <c r="N63" s="15" t="s">
        <v>431</v>
      </c>
      <c r="O63" s="15" t="s">
        <v>432</v>
      </c>
      <c r="P63" s="15" t="s">
        <v>433</v>
      </c>
      <c r="Q63" s="15" t="s">
        <v>434</v>
      </c>
      <c r="R63" s="15" t="s">
        <v>435</v>
      </c>
      <c r="S63" s="15" t="s">
        <v>436</v>
      </c>
      <c r="T63" s="15" t="s">
        <v>437</v>
      </c>
      <c r="V63" s="15" t="s">
        <v>438</v>
      </c>
      <c r="W63" s="15" t="s">
        <v>439</v>
      </c>
      <c r="X63" s="15" t="s">
        <v>440</v>
      </c>
      <c r="Y63" s="15" t="s">
        <v>441</v>
      </c>
      <c r="Z63" s="15" t="s">
        <v>375</v>
      </c>
    </row>
    <row r="64" spans="1:26" ht="15" customHeight="1">
      <c r="A64" s="12" t="str">
        <f t="shared" ref="A64:A69" si="7">+L64</f>
        <v>AA and above</v>
      </c>
      <c r="B64" s="12" t="str">
        <f>IF(IFERROR(HLOOKUP(B$2,$M$2:$BL64,$J64,FALSE),"")="","",IFERROR(HLOOKUP(B$2,$M$2:$BL64,$J64,FALSE),""))</f>
        <v/>
      </c>
      <c r="C64" s="12" t="str">
        <f>IF(IFERROR(HLOOKUP(C$2,$M$2:$BL64,$J64,FALSE),"")="","",IFERROR(HLOOKUP(C$2,$M$2:$BL64,$J64,FALSE),""))</f>
        <v/>
      </c>
      <c r="D64" s="12" t="str">
        <f>IF(IFERROR(HLOOKUP(D$2,$M$2:$BL64,$J64,FALSE),"")="","",IFERROR(HLOOKUP(D$2,$M$2:$BL64,$J64,FALSE),""))</f>
        <v/>
      </c>
      <c r="E64" s="12" t="str">
        <f>IF(IFERROR(HLOOKUP(E$2,$M$2:$BL64,$J64,FALSE),"")="","",IFERROR(HLOOKUP(E$2,$M$2:$BL64,$J64,FALSE),""))</f>
        <v/>
      </c>
      <c r="F64" s="12" t="str">
        <f>IF(IFERROR(HLOOKUP(F$2,$M$2:$BL64,$J64,FALSE),"")="","",IFERROR(HLOOKUP(F$2,$M$2:$BL64,$J64,FALSE),""))</f>
        <v/>
      </c>
      <c r="G64" s="12" t="str">
        <f>IF(IFERROR(HLOOKUP(G$2,$M$2:$BL64,$J64,FALSE),"")="","",IFERROR(HLOOKUP(G$2,$M$2:$BL64,$J64,FALSE),""))</f>
        <v/>
      </c>
      <c r="J64" s="13">
        <f t="shared" si="0"/>
        <v>63</v>
      </c>
      <c r="L64" s="12" t="s">
        <v>78</v>
      </c>
      <c r="M64" s="12" t="s">
        <v>442</v>
      </c>
      <c r="N64" s="12" t="s">
        <v>149</v>
      </c>
      <c r="O64" s="12" t="s">
        <v>443</v>
      </c>
      <c r="P64" s="12" t="s">
        <v>444</v>
      </c>
      <c r="Q64" s="12" t="s">
        <v>445</v>
      </c>
      <c r="R64" s="12" t="s">
        <v>446</v>
      </c>
      <c r="S64" s="17" t="s">
        <v>447</v>
      </c>
      <c r="T64" s="12" t="s">
        <v>448</v>
      </c>
      <c r="V64" s="12" t="s">
        <v>148</v>
      </c>
      <c r="W64" s="12" t="s">
        <v>449</v>
      </c>
      <c r="X64" s="12" t="s">
        <v>450</v>
      </c>
      <c r="Y64" s="12" t="s">
        <v>451</v>
      </c>
      <c r="Z64" s="12" t="s">
        <v>452</v>
      </c>
    </row>
    <row r="65" spans="1:26" ht="15" customHeight="1">
      <c r="A65" s="12" t="str">
        <f t="shared" si="7"/>
        <v>A</v>
      </c>
      <c r="B65" s="12" t="str">
        <f>IF(IFERROR(HLOOKUP(B$2,$M$2:$BL65,$J65,FALSE),"")="","",IFERROR(HLOOKUP(B$2,$M$2:$BL65,$J65,FALSE),""))</f>
        <v/>
      </c>
      <c r="C65" s="12" t="str">
        <f>IF(IFERROR(HLOOKUP(C$2,$M$2:$BL65,$J65,FALSE),"")="","",IFERROR(HLOOKUP(C$2,$M$2:$BL65,$J65,FALSE),""))</f>
        <v/>
      </c>
      <c r="D65" s="12" t="str">
        <f>IF(IFERROR(HLOOKUP(D$2,$M$2:$BL65,$J65,FALSE),"")="","",IFERROR(HLOOKUP(D$2,$M$2:$BL65,$J65,FALSE),""))</f>
        <v/>
      </c>
      <c r="E65" s="12" t="str">
        <f>IF(IFERROR(HLOOKUP(E$2,$M$2:$BL65,$J65,FALSE),"")="","",IFERROR(HLOOKUP(E$2,$M$2:$BL65,$J65,FALSE),""))</f>
        <v/>
      </c>
      <c r="F65" s="12" t="str">
        <f>IF(IFERROR(HLOOKUP(F$2,$M$2:$BL65,$J65,FALSE),"")="","",IFERROR(HLOOKUP(F$2,$M$2:$BL65,$J65,FALSE),""))</f>
        <v/>
      </c>
      <c r="G65" s="12" t="str">
        <f>IF(IFERROR(HLOOKUP(G$2,$M$2:$BL65,$J65,FALSE),"")="","",IFERROR(HLOOKUP(G$2,$M$2:$BL65,$J65,FALSE),""))</f>
        <v/>
      </c>
      <c r="J65" s="13">
        <f t="shared" si="0"/>
        <v>64</v>
      </c>
      <c r="L65" s="12" t="s">
        <v>8</v>
      </c>
      <c r="M65" s="12" t="s">
        <v>442</v>
      </c>
      <c r="N65" s="12" t="s">
        <v>163</v>
      </c>
      <c r="O65" s="12" t="s">
        <v>453</v>
      </c>
      <c r="P65" s="12" t="s">
        <v>444</v>
      </c>
      <c r="Q65" s="12" t="s">
        <v>454</v>
      </c>
      <c r="R65" s="12" t="s">
        <v>446</v>
      </c>
      <c r="S65" s="17" t="s">
        <v>447</v>
      </c>
      <c r="T65" s="12" t="s">
        <v>455</v>
      </c>
      <c r="V65" s="12" t="s">
        <v>456</v>
      </c>
      <c r="W65" s="12" t="s">
        <v>457</v>
      </c>
      <c r="X65" s="12" t="s">
        <v>300</v>
      </c>
      <c r="Y65" s="12" t="s">
        <v>458</v>
      </c>
      <c r="Z65" s="12" t="s">
        <v>459</v>
      </c>
    </row>
    <row r="66" spans="1:26" ht="15" customHeight="1">
      <c r="A66" s="12" t="str">
        <f t="shared" si="7"/>
        <v>BBB</v>
      </c>
      <c r="B66" s="12" t="str">
        <f>IF(IFERROR(HLOOKUP(B$2,$M$2:$BL66,$J66,FALSE),"")="","",IFERROR(HLOOKUP(B$2,$M$2:$BL66,$J66,FALSE),""))</f>
        <v/>
      </c>
      <c r="C66" s="12" t="str">
        <f>IF(IFERROR(HLOOKUP(C$2,$M$2:$BL66,$J66,FALSE),"")="","",IFERROR(HLOOKUP(C$2,$M$2:$BL66,$J66,FALSE),""))</f>
        <v/>
      </c>
      <c r="D66" s="12" t="str">
        <f>IF(IFERROR(HLOOKUP(D$2,$M$2:$BL66,$J66,FALSE),"")="","",IFERROR(HLOOKUP(D$2,$M$2:$BL66,$J66,FALSE),""))</f>
        <v/>
      </c>
      <c r="E66" s="12" t="str">
        <f>IF(IFERROR(HLOOKUP(E$2,$M$2:$BL66,$J66,FALSE),"")="","",IFERROR(HLOOKUP(E$2,$M$2:$BL66,$J66,FALSE),""))</f>
        <v/>
      </c>
      <c r="F66" s="12" t="str">
        <f>IF(IFERROR(HLOOKUP(F$2,$M$2:$BL66,$J66,FALSE),"")="","",IFERROR(HLOOKUP(F$2,$M$2:$BL66,$J66,FALSE),""))</f>
        <v/>
      </c>
      <c r="G66" s="12" t="str">
        <f>IF(IFERROR(HLOOKUP(G$2,$M$2:$BL66,$J66,FALSE),"")="","",IFERROR(HLOOKUP(G$2,$M$2:$BL66,$J66,FALSE),""))</f>
        <v/>
      </c>
      <c r="J66" s="13">
        <f t="shared" si="0"/>
        <v>65</v>
      </c>
      <c r="L66" s="12" t="s">
        <v>118</v>
      </c>
      <c r="M66" s="12" t="s">
        <v>460</v>
      </c>
      <c r="N66" s="12" t="s">
        <v>176</v>
      </c>
      <c r="O66" s="12" t="s">
        <v>461</v>
      </c>
      <c r="P66" s="12" t="s">
        <v>462</v>
      </c>
      <c r="Q66" s="12" t="s">
        <v>463</v>
      </c>
      <c r="R66" s="12" t="s">
        <v>464</v>
      </c>
      <c r="S66" s="17" t="s">
        <v>465</v>
      </c>
      <c r="T66" s="12" t="s">
        <v>466</v>
      </c>
      <c r="V66" s="12" t="s">
        <v>467</v>
      </c>
      <c r="W66" s="12" t="s">
        <v>331</v>
      </c>
      <c r="X66" s="12" t="s">
        <v>306</v>
      </c>
      <c r="Y66" s="12" t="s">
        <v>468</v>
      </c>
      <c r="Z66" s="12" t="s">
        <v>469</v>
      </c>
    </row>
    <row r="67" spans="1:26" ht="15" customHeight="1">
      <c r="A67" s="12" t="str">
        <f t="shared" si="7"/>
        <v>BB</v>
      </c>
      <c r="B67" s="12" t="str">
        <f>IF(IFERROR(HLOOKUP(B$2,$M$2:$BL67,$J67,FALSE),"")="","",IFERROR(HLOOKUP(B$2,$M$2:$BL67,$J67,FALSE),""))</f>
        <v/>
      </c>
      <c r="C67" s="12" t="str">
        <f>IF(IFERROR(HLOOKUP(C$2,$M$2:$BL67,$J67,FALSE),"")="","",IFERROR(HLOOKUP(C$2,$M$2:$BL67,$J67,FALSE),""))</f>
        <v/>
      </c>
      <c r="D67" s="12" t="str">
        <f>IF(IFERROR(HLOOKUP(D$2,$M$2:$BL67,$J67,FALSE),"")="","",IFERROR(HLOOKUP(D$2,$M$2:$BL67,$J67,FALSE),""))</f>
        <v/>
      </c>
      <c r="E67" s="12" t="str">
        <f>IF(IFERROR(HLOOKUP(E$2,$M$2:$BL67,$J67,FALSE),"")="","",IFERROR(HLOOKUP(E$2,$M$2:$BL67,$J67,FALSE),""))</f>
        <v/>
      </c>
      <c r="F67" s="12" t="str">
        <f>IF(IFERROR(HLOOKUP(F$2,$M$2:$BL67,$J67,FALSE),"")="","",IFERROR(HLOOKUP(F$2,$M$2:$BL67,$J67,FALSE),""))</f>
        <v/>
      </c>
      <c r="G67" s="12" t="str">
        <f>IF(IFERROR(HLOOKUP(G$2,$M$2:$BL67,$J67,FALSE),"")="","",IFERROR(HLOOKUP(G$2,$M$2:$BL67,$J67,FALSE),""))</f>
        <v/>
      </c>
      <c r="J67" s="13">
        <f t="shared" ref="J67:J130" si="8">+J66+1</f>
        <v>66</v>
      </c>
      <c r="L67" s="12" t="s">
        <v>139</v>
      </c>
      <c r="M67" s="12" t="s">
        <v>470</v>
      </c>
      <c r="N67" s="12" t="s">
        <v>189</v>
      </c>
      <c r="O67" s="12" t="s">
        <v>471</v>
      </c>
      <c r="P67" s="12" t="s">
        <v>472</v>
      </c>
      <c r="Q67" s="12" t="s">
        <v>473</v>
      </c>
      <c r="R67" s="12" t="s">
        <v>474</v>
      </c>
      <c r="S67" s="17" t="s">
        <v>475</v>
      </c>
      <c r="T67" s="12" t="s">
        <v>476</v>
      </c>
      <c r="V67" s="12" t="s">
        <v>477</v>
      </c>
      <c r="W67" s="12" t="s">
        <v>189</v>
      </c>
      <c r="X67" s="12" t="s">
        <v>478</v>
      </c>
      <c r="Y67" s="12" t="s">
        <v>479</v>
      </c>
      <c r="Z67" s="12" t="s">
        <v>480</v>
      </c>
    </row>
    <row r="68" spans="1:26" ht="15" customHeight="1">
      <c r="A68" s="12" t="str">
        <f t="shared" si="7"/>
        <v>B</v>
      </c>
      <c r="B68" s="12" t="str">
        <f>IF(IFERROR(HLOOKUP(B$2,$M$2:$BL68,$J68,FALSE),"")="","",IFERROR(HLOOKUP(B$2,$M$2:$BL68,$J68,FALSE),""))</f>
        <v/>
      </c>
      <c r="C68" s="12" t="str">
        <f>IF(IFERROR(HLOOKUP(C$2,$M$2:$BL68,$J68,FALSE),"")="","",IFERROR(HLOOKUP(C$2,$M$2:$BL68,$J68,FALSE),""))</f>
        <v/>
      </c>
      <c r="D68" s="12" t="str">
        <f>IF(IFERROR(HLOOKUP(D$2,$M$2:$BL68,$J68,FALSE),"")="","",IFERROR(HLOOKUP(D$2,$M$2:$BL68,$J68,FALSE),""))</f>
        <v/>
      </c>
      <c r="E68" s="12" t="str">
        <f>IF(IFERROR(HLOOKUP(E$2,$M$2:$BL68,$J68,FALSE),"")="","",IFERROR(HLOOKUP(E$2,$M$2:$BL68,$J68,FALSE),""))</f>
        <v/>
      </c>
      <c r="F68" s="12" t="str">
        <f>IF(IFERROR(HLOOKUP(F$2,$M$2:$BL68,$J68,FALSE),"")="","",IFERROR(HLOOKUP(F$2,$M$2:$BL68,$J68,FALSE),""))</f>
        <v/>
      </c>
      <c r="G68" s="12" t="str">
        <f>IF(IFERROR(HLOOKUP(G$2,$M$2:$BL68,$J68,FALSE),"")="","",IFERROR(HLOOKUP(G$2,$M$2:$BL68,$J68,FALSE),""))</f>
        <v/>
      </c>
      <c r="J68" s="13">
        <f t="shared" si="8"/>
        <v>67</v>
      </c>
      <c r="L68" s="12" t="s">
        <v>179</v>
      </c>
      <c r="M68" s="12" t="s">
        <v>481</v>
      </c>
      <c r="N68" s="12" t="s">
        <v>331</v>
      </c>
      <c r="O68" s="12" t="s">
        <v>482</v>
      </c>
      <c r="P68" s="12" t="s">
        <v>483</v>
      </c>
      <c r="Q68" s="12" t="s">
        <v>484</v>
      </c>
      <c r="R68" s="12" t="s">
        <v>485</v>
      </c>
      <c r="S68" s="17" t="s">
        <v>486</v>
      </c>
      <c r="T68" s="12" t="s">
        <v>487</v>
      </c>
      <c r="V68" s="12" t="s">
        <v>488</v>
      </c>
      <c r="W68" s="12" t="s">
        <v>489</v>
      </c>
      <c r="X68" s="12" t="s">
        <v>490</v>
      </c>
      <c r="Y68" s="12" t="s">
        <v>491</v>
      </c>
      <c r="Z68" s="12" t="s">
        <v>492</v>
      </c>
    </row>
    <row r="69" spans="1:26" ht="15" customHeight="1">
      <c r="A69" s="12" t="str">
        <f t="shared" si="7"/>
        <v>CCC and below</v>
      </c>
      <c r="B69" s="12" t="str">
        <f>IF(IFERROR(HLOOKUP(B$2,$M$2:$BL69,$J69,FALSE),"")="","",IFERROR(HLOOKUP(B$2,$M$2:$BL69,$J69,FALSE),""))</f>
        <v/>
      </c>
      <c r="C69" s="12" t="str">
        <f>IF(IFERROR(HLOOKUP(C$2,$M$2:$BL69,$J69,FALSE),"")="","",IFERROR(HLOOKUP(C$2,$M$2:$BL69,$J69,FALSE),""))</f>
        <v/>
      </c>
      <c r="D69" s="12" t="str">
        <f>IF(IFERROR(HLOOKUP(D$2,$M$2:$BL69,$J69,FALSE),"")="","",IFERROR(HLOOKUP(D$2,$M$2:$BL69,$J69,FALSE),""))</f>
        <v/>
      </c>
      <c r="E69" s="12" t="str">
        <f>IF(IFERROR(HLOOKUP(E$2,$M$2:$BL69,$J69,FALSE),"")="","",IFERROR(HLOOKUP(E$2,$M$2:$BL69,$J69,FALSE),""))</f>
        <v/>
      </c>
      <c r="F69" s="12" t="str">
        <f>IF(IFERROR(HLOOKUP(F$2,$M$2:$BL69,$J69,FALSE),"")="","",IFERROR(HLOOKUP(F$2,$M$2:$BL69,$J69,FALSE),""))</f>
        <v/>
      </c>
      <c r="G69" s="12" t="str">
        <f>IF(IFERROR(HLOOKUP(G$2,$M$2:$BL69,$J69,FALSE),"")="","",IFERROR(HLOOKUP(G$2,$M$2:$BL69,$J69,FALSE),""))</f>
        <v/>
      </c>
      <c r="J69" s="13">
        <f t="shared" si="8"/>
        <v>68</v>
      </c>
      <c r="L69" s="12" t="s">
        <v>205</v>
      </c>
      <c r="M69" s="12" t="s">
        <v>481</v>
      </c>
      <c r="N69" s="12" t="s">
        <v>335</v>
      </c>
      <c r="O69" s="12" t="s">
        <v>493</v>
      </c>
      <c r="P69" s="12" t="s">
        <v>483</v>
      </c>
      <c r="Q69" s="12" t="s">
        <v>484</v>
      </c>
      <c r="R69" s="12" t="s">
        <v>494</v>
      </c>
      <c r="S69" s="17" t="s">
        <v>495</v>
      </c>
      <c r="T69" s="12" t="s">
        <v>148</v>
      </c>
      <c r="V69" s="12" t="s">
        <v>148</v>
      </c>
      <c r="W69" s="12" t="s">
        <v>496</v>
      </c>
      <c r="X69" s="12" t="s">
        <v>148</v>
      </c>
      <c r="Y69" s="12" t="s">
        <v>148</v>
      </c>
      <c r="Z69" s="12" t="s">
        <v>492</v>
      </c>
    </row>
    <row r="70" spans="1:26" s="15" customFormat="1" ht="15" customHeight="1">
      <c r="A70" s="18" t="str">
        <f>+K70</f>
        <v>Factor 3</v>
      </c>
      <c r="B70" s="18" t="str">
        <f>IF(IFERROR(HLOOKUP(B$2,$M$2:$BL70,$J70,FALSE),"")="","",IFERROR(HLOOKUP(B$2,$M$2:$BL70,$J70,FALSE),""))</f>
        <v/>
      </c>
      <c r="C70" s="18" t="str">
        <f>IF(IFERROR(HLOOKUP(C$2,$M$2:$BL70,$J70,FALSE),"")="","",IFERROR(HLOOKUP(C$2,$M$2:$BL70,$J70,FALSE),""))</f>
        <v/>
      </c>
      <c r="D70" s="18" t="str">
        <f>IF(IFERROR(HLOOKUP(D$2,$M$2:$BL70,$J70,FALSE),"")="","",IFERROR(HLOOKUP(D$2,$M$2:$BL70,$J70,FALSE),""))</f>
        <v/>
      </c>
      <c r="E70" s="18" t="str">
        <f>IF(IFERROR(HLOOKUP(E$2,$M$2:$BL70,$J70,FALSE),"")="","",IFERROR(HLOOKUP(E$2,$M$2:$BL70,$J70,FALSE),""))</f>
        <v/>
      </c>
      <c r="F70" s="18" t="str">
        <f>IF(IFERROR(HLOOKUP(F$2,$M$2:$BL70,$J70,FALSE),"")="","",IFERROR(HLOOKUP(F$2,$M$2:$BL70,$J70,FALSE),""))</f>
        <v/>
      </c>
      <c r="G70" s="18" t="str">
        <f>IF(IFERROR(HLOOKUP(G$2,$M$2:$BL70,$J70,FALSE),"")="","",IFERROR(HLOOKUP(G$2,$M$2:$BL70,$J70,FALSE),""))</f>
        <v/>
      </c>
      <c r="H70" s="18"/>
      <c r="J70" s="16">
        <f t="shared" si="8"/>
        <v>69</v>
      </c>
      <c r="K70" s="15" t="s">
        <v>279</v>
      </c>
      <c r="M70" s="15" t="s">
        <v>497</v>
      </c>
      <c r="N70" s="15" t="s">
        <v>498</v>
      </c>
      <c r="O70" s="15" t="s">
        <v>499</v>
      </c>
      <c r="P70" s="15" t="s">
        <v>500</v>
      </c>
      <c r="Q70" s="15" t="s">
        <v>501</v>
      </c>
      <c r="R70" s="15" t="s">
        <v>502</v>
      </c>
      <c r="S70" s="15" t="s">
        <v>503</v>
      </c>
      <c r="T70" s="15" t="s">
        <v>504</v>
      </c>
      <c r="V70" s="15" t="s">
        <v>505</v>
      </c>
      <c r="W70" s="15" t="s">
        <v>506</v>
      </c>
      <c r="X70" s="25" t="s">
        <v>507</v>
      </c>
      <c r="Y70" s="15" t="s">
        <v>508</v>
      </c>
      <c r="Z70" s="15" t="s">
        <v>509</v>
      </c>
    </row>
    <row r="71" spans="1:26" ht="15" customHeight="1">
      <c r="A71" s="12" t="str">
        <f t="shared" ref="A71:A76" si="9">+L71</f>
        <v>AA and above</v>
      </c>
      <c r="B71" s="12" t="str">
        <f>IF(IFERROR(HLOOKUP(B$2,$M$2:$BL71,$J71,FALSE),"")="","",IFERROR(HLOOKUP(B$2,$M$2:$BL71,$J71,FALSE),""))</f>
        <v/>
      </c>
      <c r="C71" s="12" t="str">
        <f>IF(IFERROR(HLOOKUP(C$2,$M$2:$BL71,$J71,FALSE),"")="","",IFERROR(HLOOKUP(C$2,$M$2:$BL71,$J71,FALSE),""))</f>
        <v/>
      </c>
      <c r="D71" s="12" t="str">
        <f>IF(IFERROR(HLOOKUP(D$2,$M$2:$BL71,$J71,FALSE),"")="","",IFERROR(HLOOKUP(D$2,$M$2:$BL71,$J71,FALSE),""))</f>
        <v/>
      </c>
      <c r="E71" s="12" t="str">
        <f>IF(IFERROR(HLOOKUP(E$2,$M$2:$BL71,$J71,FALSE),"")="","",IFERROR(HLOOKUP(E$2,$M$2:$BL71,$J71,FALSE),""))</f>
        <v/>
      </c>
      <c r="F71" s="12" t="str">
        <f>IF(IFERROR(HLOOKUP(F$2,$M$2:$BL71,$J71,FALSE),"")="","",IFERROR(HLOOKUP(F$2,$M$2:$BL71,$J71,FALSE),""))</f>
        <v/>
      </c>
      <c r="G71" s="12" t="str">
        <f>IF(IFERROR(HLOOKUP(G$2,$M$2:$BL71,$J71,FALSE),"")="","",IFERROR(HLOOKUP(G$2,$M$2:$BL71,$J71,FALSE),""))</f>
        <v/>
      </c>
      <c r="J71" s="13">
        <f t="shared" si="8"/>
        <v>70</v>
      </c>
      <c r="L71" s="12" t="s">
        <v>78</v>
      </c>
      <c r="M71" s="12" t="s">
        <v>510</v>
      </c>
      <c r="N71" s="12" t="s">
        <v>511</v>
      </c>
      <c r="O71" s="12" t="s">
        <v>210</v>
      </c>
      <c r="P71" s="12" t="s">
        <v>512</v>
      </c>
      <c r="Q71" s="12" t="s">
        <v>210</v>
      </c>
      <c r="R71" s="12" t="s">
        <v>513</v>
      </c>
      <c r="S71" s="17" t="s">
        <v>475</v>
      </c>
      <c r="T71" s="12" t="s">
        <v>514</v>
      </c>
      <c r="V71" s="12" t="s">
        <v>148</v>
      </c>
      <c r="W71" s="12" t="s">
        <v>515</v>
      </c>
      <c r="X71" s="12" t="s">
        <v>233</v>
      </c>
      <c r="Y71" s="12" t="s">
        <v>264</v>
      </c>
      <c r="Z71" s="12" t="s">
        <v>516</v>
      </c>
    </row>
    <row r="72" spans="1:26" ht="15" customHeight="1">
      <c r="A72" s="12" t="str">
        <f t="shared" si="9"/>
        <v>A</v>
      </c>
      <c r="B72" s="12" t="str">
        <f>IF(IFERROR(HLOOKUP(B$2,$M$2:$BL72,$J72,FALSE),"")="","",IFERROR(HLOOKUP(B$2,$M$2:$BL72,$J72,FALSE),""))</f>
        <v/>
      </c>
      <c r="C72" s="12" t="str">
        <f>IF(IFERROR(HLOOKUP(C$2,$M$2:$BL72,$J72,FALSE),"")="","",IFERROR(HLOOKUP(C$2,$M$2:$BL72,$J72,FALSE),""))</f>
        <v/>
      </c>
      <c r="D72" s="12" t="str">
        <f>IF(IFERROR(HLOOKUP(D$2,$M$2:$BL72,$J72,FALSE),"")="","",IFERROR(HLOOKUP(D$2,$M$2:$BL72,$J72,FALSE),""))</f>
        <v/>
      </c>
      <c r="E72" s="12" t="str">
        <f>IF(IFERROR(HLOOKUP(E$2,$M$2:$BL72,$J72,FALSE),"")="","",IFERROR(HLOOKUP(E$2,$M$2:$BL72,$J72,FALSE),""))</f>
        <v/>
      </c>
      <c r="F72" s="12" t="str">
        <f>IF(IFERROR(HLOOKUP(F$2,$M$2:$BL72,$J72,FALSE),"")="","",IFERROR(HLOOKUP(F$2,$M$2:$BL72,$J72,FALSE),""))</f>
        <v/>
      </c>
      <c r="G72" s="12" t="str">
        <f>IF(IFERROR(HLOOKUP(G$2,$M$2:$BL72,$J72,FALSE),"")="","",IFERROR(HLOOKUP(G$2,$M$2:$BL72,$J72,FALSE),""))</f>
        <v/>
      </c>
      <c r="J72" s="13">
        <f t="shared" si="8"/>
        <v>71</v>
      </c>
      <c r="L72" s="12" t="s">
        <v>8</v>
      </c>
      <c r="M72" s="12" t="s">
        <v>517</v>
      </c>
      <c r="N72" s="12" t="s">
        <v>518</v>
      </c>
      <c r="O72" s="12" t="s">
        <v>210</v>
      </c>
      <c r="P72" s="12" t="s">
        <v>512</v>
      </c>
      <c r="Q72" s="12" t="s">
        <v>210</v>
      </c>
      <c r="R72" s="12" t="s">
        <v>513</v>
      </c>
      <c r="S72" s="17" t="s">
        <v>475</v>
      </c>
      <c r="T72" s="12" t="s">
        <v>514</v>
      </c>
      <c r="V72" s="12" t="s">
        <v>519</v>
      </c>
      <c r="W72" s="12" t="s">
        <v>520</v>
      </c>
      <c r="X72" s="12" t="s">
        <v>242</v>
      </c>
      <c r="Y72" s="12" t="s">
        <v>521</v>
      </c>
      <c r="Z72" s="12" t="s">
        <v>516</v>
      </c>
    </row>
    <row r="73" spans="1:26" ht="15" customHeight="1">
      <c r="A73" s="12" t="str">
        <f t="shared" si="9"/>
        <v>BBB</v>
      </c>
      <c r="B73" s="12" t="str">
        <f>IF(IFERROR(HLOOKUP(B$2,$M$2:$BL73,$J73,FALSE),"")="","",IFERROR(HLOOKUP(B$2,$M$2:$BL73,$J73,FALSE),""))</f>
        <v/>
      </c>
      <c r="C73" s="12" t="str">
        <f>IF(IFERROR(HLOOKUP(C$2,$M$2:$BL73,$J73,FALSE),"")="","",IFERROR(HLOOKUP(C$2,$M$2:$BL73,$J73,FALSE),""))</f>
        <v/>
      </c>
      <c r="D73" s="12" t="str">
        <f>IF(IFERROR(HLOOKUP(D$2,$M$2:$BL73,$J73,FALSE),"")="","",IFERROR(HLOOKUP(D$2,$M$2:$BL73,$J73,FALSE),""))</f>
        <v/>
      </c>
      <c r="E73" s="12" t="str">
        <f>IF(IFERROR(HLOOKUP(E$2,$M$2:$BL73,$J73,FALSE),"")="","",IFERROR(HLOOKUP(E$2,$M$2:$BL73,$J73,FALSE),""))</f>
        <v/>
      </c>
      <c r="F73" s="12" t="str">
        <f>IF(IFERROR(HLOOKUP(F$2,$M$2:$BL73,$J73,FALSE),"")="","",IFERROR(HLOOKUP(F$2,$M$2:$BL73,$J73,FALSE),""))</f>
        <v/>
      </c>
      <c r="G73" s="12" t="str">
        <f>IF(IFERROR(HLOOKUP(G$2,$M$2:$BL73,$J73,FALSE),"")="","",IFERROR(HLOOKUP(G$2,$M$2:$BL73,$J73,FALSE),""))</f>
        <v/>
      </c>
      <c r="J73" s="13">
        <f t="shared" si="8"/>
        <v>72</v>
      </c>
      <c r="L73" s="12" t="s">
        <v>118</v>
      </c>
      <c r="M73" s="12" t="s">
        <v>517</v>
      </c>
      <c r="N73" s="12" t="s">
        <v>522</v>
      </c>
      <c r="O73" s="12" t="s">
        <v>523</v>
      </c>
      <c r="P73" s="12" t="s">
        <v>524</v>
      </c>
      <c r="Q73" s="12" t="s">
        <v>525</v>
      </c>
      <c r="R73" s="12" t="s">
        <v>526</v>
      </c>
      <c r="S73" s="17" t="s">
        <v>486</v>
      </c>
      <c r="T73" s="12" t="s">
        <v>514</v>
      </c>
      <c r="V73" s="12" t="s">
        <v>527</v>
      </c>
      <c r="W73" s="12" t="s">
        <v>528</v>
      </c>
      <c r="X73" s="12" t="s">
        <v>529</v>
      </c>
      <c r="Y73" s="12" t="s">
        <v>530</v>
      </c>
      <c r="Z73" s="12" t="s">
        <v>531</v>
      </c>
    </row>
    <row r="74" spans="1:26" ht="15" customHeight="1">
      <c r="A74" s="12" t="str">
        <f t="shared" si="9"/>
        <v>BB</v>
      </c>
      <c r="B74" s="12" t="str">
        <f>IF(IFERROR(HLOOKUP(B$2,$M$2:$BL74,$J74,FALSE),"")="","",IFERROR(HLOOKUP(B$2,$M$2:$BL74,$J74,FALSE),""))</f>
        <v/>
      </c>
      <c r="C74" s="12" t="str">
        <f>IF(IFERROR(HLOOKUP(C$2,$M$2:$BL74,$J74,FALSE),"")="","",IFERROR(HLOOKUP(C$2,$M$2:$BL74,$J74,FALSE),""))</f>
        <v/>
      </c>
      <c r="D74" s="12" t="str">
        <f>IF(IFERROR(HLOOKUP(D$2,$M$2:$BL74,$J74,FALSE),"")="","",IFERROR(HLOOKUP(D$2,$M$2:$BL74,$J74,FALSE),""))</f>
        <v/>
      </c>
      <c r="E74" s="12" t="str">
        <f>IF(IFERROR(HLOOKUP(E$2,$M$2:$BL74,$J74,FALSE),"")="","",IFERROR(HLOOKUP(E$2,$M$2:$BL74,$J74,FALSE),""))</f>
        <v/>
      </c>
      <c r="F74" s="12" t="str">
        <f>IF(IFERROR(HLOOKUP(F$2,$M$2:$BL74,$J74,FALSE),"")="","",IFERROR(HLOOKUP(F$2,$M$2:$BL74,$J74,FALSE),""))</f>
        <v/>
      </c>
      <c r="G74" s="12" t="str">
        <f>IF(IFERROR(HLOOKUP(G$2,$M$2:$BL74,$J74,FALSE),"")="","",IFERROR(HLOOKUP(G$2,$M$2:$BL74,$J74,FALSE),""))</f>
        <v/>
      </c>
      <c r="J74" s="13">
        <f t="shared" si="8"/>
        <v>73</v>
      </c>
      <c r="L74" s="12" t="s">
        <v>139</v>
      </c>
      <c r="M74" s="12" t="s">
        <v>532</v>
      </c>
      <c r="N74" s="12" t="s">
        <v>533</v>
      </c>
      <c r="O74" s="12" t="s">
        <v>534</v>
      </c>
      <c r="P74" s="12" t="s">
        <v>535</v>
      </c>
      <c r="Q74" s="12" t="s">
        <v>536</v>
      </c>
      <c r="R74" s="12" t="s">
        <v>537</v>
      </c>
      <c r="S74" s="17" t="s">
        <v>538</v>
      </c>
      <c r="T74" s="12" t="s">
        <v>539</v>
      </c>
      <c r="V74" s="12" t="s">
        <v>540</v>
      </c>
      <c r="W74" s="12" t="s">
        <v>541</v>
      </c>
      <c r="X74" s="12" t="s">
        <v>542</v>
      </c>
      <c r="Y74" s="12" t="s">
        <v>543</v>
      </c>
      <c r="Z74" s="12" t="s">
        <v>531</v>
      </c>
    </row>
    <row r="75" spans="1:26" ht="15" customHeight="1">
      <c r="A75" s="12" t="str">
        <f t="shared" si="9"/>
        <v>B</v>
      </c>
      <c r="B75" s="12" t="str">
        <f>IF(IFERROR(HLOOKUP(B$2,$M$2:$BL75,$J75,FALSE),"")="","",IFERROR(HLOOKUP(B$2,$M$2:$BL75,$J75,FALSE),""))</f>
        <v/>
      </c>
      <c r="C75" s="12" t="str">
        <f>IF(IFERROR(HLOOKUP(C$2,$M$2:$BL75,$J75,FALSE),"")="","",IFERROR(HLOOKUP(C$2,$M$2:$BL75,$J75,FALSE),""))</f>
        <v/>
      </c>
      <c r="D75" s="12" t="str">
        <f>IF(IFERROR(HLOOKUP(D$2,$M$2:$BL75,$J75,FALSE),"")="","",IFERROR(HLOOKUP(D$2,$M$2:$BL75,$J75,FALSE),""))</f>
        <v/>
      </c>
      <c r="E75" s="12" t="str">
        <f>IF(IFERROR(HLOOKUP(E$2,$M$2:$BL75,$J75,FALSE),"")="","",IFERROR(HLOOKUP(E$2,$M$2:$BL75,$J75,FALSE),""))</f>
        <v/>
      </c>
      <c r="F75" s="12" t="str">
        <f>IF(IFERROR(HLOOKUP(F$2,$M$2:$BL75,$J75,FALSE),"")="","",IFERROR(HLOOKUP(F$2,$M$2:$BL75,$J75,FALSE),""))</f>
        <v/>
      </c>
      <c r="G75" s="12" t="str">
        <f>IF(IFERROR(HLOOKUP(G$2,$M$2:$BL75,$J75,FALSE),"")="","",IFERROR(HLOOKUP(G$2,$M$2:$BL75,$J75,FALSE),""))</f>
        <v/>
      </c>
      <c r="J75" s="13">
        <f t="shared" si="8"/>
        <v>74</v>
      </c>
      <c r="L75" s="12" t="s">
        <v>179</v>
      </c>
      <c r="M75" s="12" t="s">
        <v>532</v>
      </c>
      <c r="N75" s="12" t="s">
        <v>544</v>
      </c>
      <c r="O75" s="12" t="s">
        <v>545</v>
      </c>
      <c r="P75" s="12" t="s">
        <v>546</v>
      </c>
      <c r="Q75" s="12" t="s">
        <v>547</v>
      </c>
      <c r="R75" s="12" t="s">
        <v>548</v>
      </c>
      <c r="S75" s="17" t="s">
        <v>549</v>
      </c>
      <c r="T75" s="12" t="s">
        <v>539</v>
      </c>
      <c r="V75" s="12" t="s">
        <v>550</v>
      </c>
      <c r="W75" s="12" t="s">
        <v>551</v>
      </c>
      <c r="X75" s="26">
        <v>0</v>
      </c>
      <c r="Y75" s="12" t="s">
        <v>552</v>
      </c>
      <c r="Z75" s="12" t="s">
        <v>553</v>
      </c>
    </row>
    <row r="76" spans="1:26" ht="15" customHeight="1">
      <c r="A76" s="12" t="str">
        <f t="shared" si="9"/>
        <v>CCC and below</v>
      </c>
      <c r="B76" s="12" t="str">
        <f>IF(IFERROR(HLOOKUP(B$2,$M$2:$BL76,$J76,FALSE),"")="","",IFERROR(HLOOKUP(B$2,$M$2:$BL76,$J76,FALSE),""))</f>
        <v/>
      </c>
      <c r="C76" s="12" t="str">
        <f>IF(IFERROR(HLOOKUP(C$2,$M$2:$BL76,$J76,FALSE),"")="","",IFERROR(HLOOKUP(C$2,$M$2:$BL76,$J76,FALSE),""))</f>
        <v/>
      </c>
      <c r="D76" s="12" t="str">
        <f>IF(IFERROR(HLOOKUP(D$2,$M$2:$BL76,$J76,FALSE),"")="","",IFERROR(HLOOKUP(D$2,$M$2:$BL76,$J76,FALSE),""))</f>
        <v/>
      </c>
      <c r="E76" s="12" t="str">
        <f>IF(IFERROR(HLOOKUP(E$2,$M$2:$BL76,$J76,FALSE),"")="","",IFERROR(HLOOKUP(E$2,$M$2:$BL76,$J76,FALSE),""))</f>
        <v/>
      </c>
      <c r="F76" s="12" t="str">
        <f>IF(IFERROR(HLOOKUP(F$2,$M$2:$BL76,$J76,FALSE),"")="","",IFERROR(HLOOKUP(F$2,$M$2:$BL76,$J76,FALSE),""))</f>
        <v/>
      </c>
      <c r="G76" s="12" t="str">
        <f>IF(IFERROR(HLOOKUP(G$2,$M$2:$BL76,$J76,FALSE),"")="","",IFERROR(HLOOKUP(G$2,$M$2:$BL76,$J76,FALSE),""))</f>
        <v/>
      </c>
      <c r="J76" s="13">
        <f t="shared" si="8"/>
        <v>75</v>
      </c>
      <c r="L76" s="12" t="s">
        <v>205</v>
      </c>
      <c r="M76" s="12" t="s">
        <v>554</v>
      </c>
      <c r="N76" s="12" t="s">
        <v>555</v>
      </c>
      <c r="O76" s="12" t="s">
        <v>556</v>
      </c>
      <c r="P76" s="12" t="s">
        <v>557</v>
      </c>
      <c r="Q76" s="12" t="s">
        <v>558</v>
      </c>
      <c r="R76" s="12" t="s">
        <v>548</v>
      </c>
      <c r="S76" s="17" t="s">
        <v>559</v>
      </c>
      <c r="T76" s="12" t="s">
        <v>539</v>
      </c>
      <c r="V76" s="12" t="s">
        <v>148</v>
      </c>
      <c r="W76" s="12" t="s">
        <v>551</v>
      </c>
      <c r="X76" s="12" t="s">
        <v>148</v>
      </c>
      <c r="Y76" s="12" t="s">
        <v>148</v>
      </c>
      <c r="Z76" s="12" t="s">
        <v>560</v>
      </c>
    </row>
    <row r="77" spans="1:26" s="15" customFormat="1" ht="15" customHeight="1">
      <c r="A77" s="18" t="str">
        <f>+K77</f>
        <v>Factor 4</v>
      </c>
      <c r="B77" s="18" t="str">
        <f>IF(IFERROR(HLOOKUP(B$2,$M$2:$BL77,$J77,FALSE),"")="","",IFERROR(HLOOKUP(B$2,$M$2:$BL77,$J77,FALSE),""))</f>
        <v/>
      </c>
      <c r="C77" s="18" t="str">
        <f>IF(IFERROR(HLOOKUP(C$2,$M$2:$BL77,$J77,FALSE),"")="","",IFERROR(HLOOKUP(C$2,$M$2:$BL77,$J77,FALSE),""))</f>
        <v/>
      </c>
      <c r="D77" s="18" t="str">
        <f>IF(IFERROR(HLOOKUP(D$2,$M$2:$BL77,$J77,FALSE),"")="","",IFERROR(HLOOKUP(D$2,$M$2:$BL77,$J77,FALSE),""))</f>
        <v/>
      </c>
      <c r="E77" s="18" t="str">
        <f>IF(IFERROR(HLOOKUP(E$2,$M$2:$BL77,$J77,FALSE),"")="","",IFERROR(HLOOKUP(E$2,$M$2:$BL77,$J77,FALSE),""))</f>
        <v/>
      </c>
      <c r="F77" s="18" t="str">
        <f>IF(IFERROR(HLOOKUP(F$2,$M$2:$BL77,$J77,FALSE),"")="","",IFERROR(HLOOKUP(F$2,$M$2:$BL77,$J77,FALSE),""))</f>
        <v/>
      </c>
      <c r="G77" s="18" t="str">
        <f>IF(IFERROR(HLOOKUP(G$2,$M$2:$BL77,$J77,FALSE),"")="","",IFERROR(HLOOKUP(G$2,$M$2:$BL77,$J77,FALSE),""))</f>
        <v/>
      </c>
      <c r="H77" s="18"/>
      <c r="J77" s="16">
        <f t="shared" si="8"/>
        <v>76</v>
      </c>
      <c r="K77" s="15" t="s">
        <v>315</v>
      </c>
      <c r="N77" s="15" t="s">
        <v>561</v>
      </c>
      <c r="P77" s="15" t="s">
        <v>562</v>
      </c>
      <c r="R77" s="15" t="s">
        <v>562</v>
      </c>
      <c r="S77" s="15" t="s">
        <v>563</v>
      </c>
      <c r="T77" s="15" t="s">
        <v>564</v>
      </c>
      <c r="W77" s="15" t="s">
        <v>565</v>
      </c>
      <c r="X77" s="15" t="s">
        <v>566</v>
      </c>
      <c r="Y77" s="15" t="s">
        <v>567</v>
      </c>
    </row>
    <row r="78" spans="1:26" ht="15" customHeight="1">
      <c r="A78" s="12" t="str">
        <f t="shared" ref="A78:A83" si="10">+L78</f>
        <v>AA and above</v>
      </c>
      <c r="B78" s="12" t="str">
        <f>IF(IFERROR(HLOOKUP(B$2,$M$2:$BL78,$J78,FALSE),"")="","",IFERROR(HLOOKUP(B$2,$M$2:$BL78,$J78,FALSE),""))</f>
        <v/>
      </c>
      <c r="C78" s="12" t="str">
        <f>IF(IFERROR(HLOOKUP(C$2,$M$2:$BL78,$J78,FALSE),"")="","",IFERROR(HLOOKUP(C$2,$M$2:$BL78,$J78,FALSE),""))</f>
        <v/>
      </c>
      <c r="D78" s="12" t="str">
        <f>IF(IFERROR(HLOOKUP(D$2,$M$2:$BL78,$J78,FALSE),"")="","",IFERROR(HLOOKUP(D$2,$M$2:$BL78,$J78,FALSE),""))</f>
        <v/>
      </c>
      <c r="E78" s="12" t="str">
        <f>IF(IFERROR(HLOOKUP(E$2,$M$2:$BL78,$J78,FALSE),"")="","",IFERROR(HLOOKUP(E$2,$M$2:$BL78,$J78,FALSE),""))</f>
        <v/>
      </c>
      <c r="F78" s="12" t="str">
        <f>IF(IFERROR(HLOOKUP(F$2,$M$2:$BL78,$J78,FALSE),"")="","",IFERROR(HLOOKUP(F$2,$M$2:$BL78,$J78,FALSE),""))</f>
        <v/>
      </c>
      <c r="G78" s="12" t="str">
        <f>IF(IFERROR(HLOOKUP(G$2,$M$2:$BL78,$J78,FALSE),"")="","",IFERROR(HLOOKUP(G$2,$M$2:$BL78,$J78,FALSE),""))</f>
        <v/>
      </c>
      <c r="J78" s="13">
        <f t="shared" si="8"/>
        <v>77</v>
      </c>
      <c r="L78" s="12" t="s">
        <v>78</v>
      </c>
      <c r="N78" s="12" t="s">
        <v>451</v>
      </c>
      <c r="P78" s="12" t="s">
        <v>568</v>
      </c>
      <c r="R78" s="12" t="s">
        <v>569</v>
      </c>
      <c r="S78" s="12" t="s">
        <v>149</v>
      </c>
      <c r="T78" s="12" t="s">
        <v>570</v>
      </c>
      <c r="W78" s="12" t="s">
        <v>449</v>
      </c>
      <c r="X78" s="12" t="s">
        <v>571</v>
      </c>
      <c r="Y78" s="12" t="s">
        <v>572</v>
      </c>
    </row>
    <row r="79" spans="1:26" ht="15" customHeight="1">
      <c r="A79" s="12" t="str">
        <f t="shared" si="10"/>
        <v>A</v>
      </c>
      <c r="B79" s="12" t="str">
        <f>IF(IFERROR(HLOOKUP(B$2,$M$2:$BL79,$J79,FALSE),"")="","",IFERROR(HLOOKUP(B$2,$M$2:$BL79,$J79,FALSE),""))</f>
        <v/>
      </c>
      <c r="C79" s="12" t="str">
        <f>IF(IFERROR(HLOOKUP(C$2,$M$2:$BL79,$J79,FALSE),"")="","",IFERROR(HLOOKUP(C$2,$M$2:$BL79,$J79,FALSE),""))</f>
        <v/>
      </c>
      <c r="D79" s="12" t="str">
        <f>IF(IFERROR(HLOOKUP(D$2,$M$2:$BL79,$J79,FALSE),"")="","",IFERROR(HLOOKUP(D$2,$M$2:$BL79,$J79,FALSE),""))</f>
        <v/>
      </c>
      <c r="E79" s="12" t="str">
        <f>IF(IFERROR(HLOOKUP(E$2,$M$2:$BL79,$J79,FALSE),"")="","",IFERROR(HLOOKUP(E$2,$M$2:$BL79,$J79,FALSE),""))</f>
        <v/>
      </c>
      <c r="F79" s="12" t="str">
        <f>IF(IFERROR(HLOOKUP(F$2,$M$2:$BL79,$J79,FALSE),"")="","",IFERROR(HLOOKUP(F$2,$M$2:$BL79,$J79,FALSE),""))</f>
        <v/>
      </c>
      <c r="G79" s="12" t="str">
        <f>IF(IFERROR(HLOOKUP(G$2,$M$2:$BL79,$J79,FALSE),"")="","",IFERROR(HLOOKUP(G$2,$M$2:$BL79,$J79,FALSE),""))</f>
        <v/>
      </c>
      <c r="J79" s="13">
        <f t="shared" si="8"/>
        <v>78</v>
      </c>
      <c r="L79" s="12" t="s">
        <v>8</v>
      </c>
      <c r="N79" s="12" t="s">
        <v>451</v>
      </c>
      <c r="P79" s="12" t="s">
        <v>568</v>
      </c>
      <c r="R79" s="12" t="s">
        <v>569</v>
      </c>
      <c r="S79" s="12" t="s">
        <v>163</v>
      </c>
      <c r="T79" s="12" t="s">
        <v>573</v>
      </c>
      <c r="W79" s="12" t="s">
        <v>457</v>
      </c>
      <c r="X79" s="12" t="s">
        <v>574</v>
      </c>
      <c r="Y79" s="12" t="s">
        <v>575</v>
      </c>
    </row>
    <row r="80" spans="1:26" ht="15" customHeight="1">
      <c r="A80" s="12" t="str">
        <f t="shared" si="10"/>
        <v>BBB</v>
      </c>
      <c r="B80" s="12" t="str">
        <f>IF(IFERROR(HLOOKUP(B$2,$M$2:$BL80,$J80,FALSE),"")="","",IFERROR(HLOOKUP(B$2,$M$2:$BL80,$J80,FALSE),""))</f>
        <v/>
      </c>
      <c r="C80" s="12" t="str">
        <f>IF(IFERROR(HLOOKUP(C$2,$M$2:$BL80,$J80,FALSE),"")="","",IFERROR(HLOOKUP(C$2,$M$2:$BL80,$J80,FALSE),""))</f>
        <v/>
      </c>
      <c r="D80" s="12" t="str">
        <f>IF(IFERROR(HLOOKUP(D$2,$M$2:$BL80,$J80,FALSE),"")="","",IFERROR(HLOOKUP(D$2,$M$2:$BL80,$J80,FALSE),""))</f>
        <v/>
      </c>
      <c r="E80" s="12" t="str">
        <f>IF(IFERROR(HLOOKUP(E$2,$M$2:$BL80,$J80,FALSE),"")="","",IFERROR(HLOOKUP(E$2,$M$2:$BL80,$J80,FALSE),""))</f>
        <v/>
      </c>
      <c r="F80" s="12" t="str">
        <f>IF(IFERROR(HLOOKUP(F$2,$M$2:$BL80,$J80,FALSE),"")="","",IFERROR(HLOOKUP(F$2,$M$2:$BL80,$J80,FALSE),""))</f>
        <v/>
      </c>
      <c r="G80" s="12" t="str">
        <f>IF(IFERROR(HLOOKUP(G$2,$M$2:$BL80,$J80,FALSE),"")="","",IFERROR(HLOOKUP(G$2,$M$2:$BL80,$J80,FALSE),""))</f>
        <v/>
      </c>
      <c r="J80" s="13">
        <f t="shared" si="8"/>
        <v>79</v>
      </c>
      <c r="L80" s="12" t="s">
        <v>118</v>
      </c>
      <c r="N80" s="12" t="s">
        <v>576</v>
      </c>
      <c r="P80" s="12" t="s">
        <v>577</v>
      </c>
      <c r="R80" s="12" t="s">
        <v>578</v>
      </c>
      <c r="S80" s="12" t="s">
        <v>176</v>
      </c>
      <c r="T80" s="12" t="s">
        <v>579</v>
      </c>
      <c r="W80" s="12" t="s">
        <v>331</v>
      </c>
      <c r="X80" s="12" t="s">
        <v>580</v>
      </c>
      <c r="Y80" s="12" t="s">
        <v>581</v>
      </c>
    </row>
    <row r="81" spans="1:25" ht="15" customHeight="1">
      <c r="A81" s="12" t="str">
        <f t="shared" si="10"/>
        <v>BB</v>
      </c>
      <c r="B81" s="12" t="str">
        <f>IF(IFERROR(HLOOKUP(B$2,$M$2:$BL81,$J81,FALSE),"")="","",IFERROR(HLOOKUP(B$2,$M$2:$BL81,$J81,FALSE),""))</f>
        <v/>
      </c>
      <c r="C81" s="12" t="str">
        <f>IF(IFERROR(HLOOKUP(C$2,$M$2:$BL81,$J81,FALSE),"")="","",IFERROR(HLOOKUP(C$2,$M$2:$BL81,$J81,FALSE),""))</f>
        <v/>
      </c>
      <c r="D81" s="12" t="str">
        <f>IF(IFERROR(HLOOKUP(D$2,$M$2:$BL81,$J81,FALSE),"")="","",IFERROR(HLOOKUP(D$2,$M$2:$BL81,$J81,FALSE),""))</f>
        <v/>
      </c>
      <c r="E81" s="12" t="str">
        <f>IF(IFERROR(HLOOKUP(E$2,$M$2:$BL81,$J81,FALSE),"")="","",IFERROR(HLOOKUP(E$2,$M$2:$BL81,$J81,FALSE),""))</f>
        <v/>
      </c>
      <c r="F81" s="12" t="str">
        <f>IF(IFERROR(HLOOKUP(F$2,$M$2:$BL81,$J81,FALSE),"")="","",IFERROR(HLOOKUP(F$2,$M$2:$BL81,$J81,FALSE),""))</f>
        <v/>
      </c>
      <c r="G81" s="12" t="str">
        <f>IF(IFERROR(HLOOKUP(G$2,$M$2:$BL81,$J81,FALSE),"")="","",IFERROR(HLOOKUP(G$2,$M$2:$BL81,$J81,FALSE),""))</f>
        <v/>
      </c>
      <c r="J81" s="13">
        <f t="shared" si="8"/>
        <v>80</v>
      </c>
      <c r="L81" s="12" t="s">
        <v>139</v>
      </c>
      <c r="N81" s="12" t="s">
        <v>582</v>
      </c>
      <c r="P81" s="12" t="s">
        <v>583</v>
      </c>
      <c r="R81" s="12" t="s">
        <v>584</v>
      </c>
      <c r="S81" s="12" t="s">
        <v>189</v>
      </c>
      <c r="T81" s="12" t="s">
        <v>585</v>
      </c>
      <c r="W81" s="12" t="s">
        <v>189</v>
      </c>
      <c r="X81" s="12" t="s">
        <v>239</v>
      </c>
      <c r="Y81" s="12" t="s">
        <v>586</v>
      </c>
    </row>
    <row r="82" spans="1:25" ht="15" customHeight="1">
      <c r="A82" s="12" t="str">
        <f t="shared" si="10"/>
        <v>B</v>
      </c>
      <c r="B82" s="12" t="str">
        <f>IF(IFERROR(HLOOKUP(B$2,$M$2:$BL82,$J82,FALSE),"")="","",IFERROR(HLOOKUP(B$2,$M$2:$BL82,$J82,FALSE),""))</f>
        <v/>
      </c>
      <c r="C82" s="12" t="str">
        <f>IF(IFERROR(HLOOKUP(C$2,$M$2:$BL82,$J82,FALSE),"")="","",IFERROR(HLOOKUP(C$2,$M$2:$BL82,$J82,FALSE),""))</f>
        <v/>
      </c>
      <c r="D82" s="12" t="str">
        <f>IF(IFERROR(HLOOKUP(D$2,$M$2:$BL82,$J82,FALSE),"")="","",IFERROR(HLOOKUP(D$2,$M$2:$BL82,$J82,FALSE),""))</f>
        <v/>
      </c>
      <c r="E82" s="12" t="str">
        <f>IF(IFERROR(HLOOKUP(E$2,$M$2:$BL82,$J82,FALSE),"")="","",IFERROR(HLOOKUP(E$2,$M$2:$BL82,$J82,FALSE),""))</f>
        <v/>
      </c>
      <c r="F82" s="12" t="str">
        <f>IF(IFERROR(HLOOKUP(F$2,$M$2:$BL82,$J82,FALSE),"")="","",IFERROR(HLOOKUP(F$2,$M$2:$BL82,$J82,FALSE),""))</f>
        <v/>
      </c>
      <c r="G82" s="12" t="str">
        <f>IF(IFERROR(HLOOKUP(G$2,$M$2:$BL82,$J82,FALSE),"")="","",IFERROR(HLOOKUP(G$2,$M$2:$BL82,$J82,FALSE),""))</f>
        <v/>
      </c>
      <c r="J82" s="13">
        <f t="shared" si="8"/>
        <v>81</v>
      </c>
      <c r="L82" s="12" t="s">
        <v>179</v>
      </c>
      <c r="N82" s="12" t="s">
        <v>587</v>
      </c>
      <c r="P82" s="12" t="s">
        <v>588</v>
      </c>
      <c r="R82" s="12" t="s">
        <v>589</v>
      </c>
      <c r="S82" s="12" t="s">
        <v>201</v>
      </c>
      <c r="T82" s="12" t="s">
        <v>590</v>
      </c>
      <c r="W82" s="12" t="s">
        <v>489</v>
      </c>
      <c r="X82" s="12" t="s">
        <v>212</v>
      </c>
      <c r="Y82" s="12" t="s">
        <v>591</v>
      </c>
    </row>
    <row r="83" spans="1:25" ht="15" customHeight="1">
      <c r="A83" s="12" t="str">
        <f t="shared" si="10"/>
        <v>CCC and below</v>
      </c>
      <c r="B83" s="12" t="str">
        <f>IF(IFERROR(HLOOKUP(B$2,$M$2:$BL83,$J83,FALSE),"")="","",IFERROR(HLOOKUP(B$2,$M$2:$BL83,$J83,FALSE),""))</f>
        <v/>
      </c>
      <c r="C83" s="12" t="str">
        <f>IF(IFERROR(HLOOKUP(C$2,$M$2:$BL83,$J83,FALSE),"")="","",IFERROR(HLOOKUP(C$2,$M$2:$BL83,$J83,FALSE),""))</f>
        <v/>
      </c>
      <c r="D83" s="12" t="str">
        <f>IF(IFERROR(HLOOKUP(D$2,$M$2:$BL83,$J83,FALSE),"")="","",IFERROR(HLOOKUP(D$2,$M$2:$BL83,$J83,FALSE),""))</f>
        <v/>
      </c>
      <c r="E83" s="12" t="str">
        <f>IF(IFERROR(HLOOKUP(E$2,$M$2:$BL83,$J83,FALSE),"")="","",IFERROR(HLOOKUP(E$2,$M$2:$BL83,$J83,FALSE),""))</f>
        <v/>
      </c>
      <c r="F83" s="12" t="str">
        <f>IF(IFERROR(HLOOKUP(F$2,$M$2:$BL83,$J83,FALSE),"")="","",IFERROR(HLOOKUP(F$2,$M$2:$BL83,$J83,FALSE),""))</f>
        <v/>
      </c>
      <c r="G83" s="12" t="str">
        <f>IF(IFERROR(HLOOKUP(G$2,$M$2:$BL83,$J83,FALSE),"")="","",IFERROR(HLOOKUP(G$2,$M$2:$BL83,$J83,FALSE),""))</f>
        <v/>
      </c>
      <c r="J83" s="13">
        <f t="shared" si="8"/>
        <v>82</v>
      </c>
      <c r="L83" s="12" t="s">
        <v>205</v>
      </c>
      <c r="N83" s="12" t="s">
        <v>587</v>
      </c>
      <c r="P83" s="12" t="s">
        <v>588</v>
      </c>
      <c r="R83" s="12" t="s">
        <v>589</v>
      </c>
      <c r="S83" s="12" t="s">
        <v>213</v>
      </c>
      <c r="T83" s="12" t="s">
        <v>148</v>
      </c>
      <c r="W83" s="12" t="s">
        <v>592</v>
      </c>
      <c r="X83" s="12" t="s">
        <v>148</v>
      </c>
      <c r="Y83" s="12" t="s">
        <v>148</v>
      </c>
    </row>
    <row r="84" spans="1:25" s="15" customFormat="1" ht="15" customHeight="1">
      <c r="A84" s="18" t="str">
        <f>+K84</f>
        <v>Factor 5</v>
      </c>
      <c r="B84" s="18" t="str">
        <f>IF(IFERROR(HLOOKUP(B$2,$M$2:$BL84,$J84,FALSE),"")="","",IFERROR(HLOOKUP(B$2,$M$2:$BL84,$J84,FALSE),""))</f>
        <v/>
      </c>
      <c r="C84" s="18" t="str">
        <f>IF(IFERROR(HLOOKUP(C$2,$M$2:$BL84,$J84,FALSE),"")="","",IFERROR(HLOOKUP(C$2,$M$2:$BL84,$J84,FALSE),""))</f>
        <v/>
      </c>
      <c r="D84" s="18" t="str">
        <f>IF(IFERROR(HLOOKUP(D$2,$M$2:$BL84,$J84,FALSE),"")="","",IFERROR(HLOOKUP(D$2,$M$2:$BL84,$J84,FALSE),""))</f>
        <v/>
      </c>
      <c r="E84" s="18" t="str">
        <f>IF(IFERROR(HLOOKUP(E$2,$M$2:$BL84,$J84,FALSE),"")="","",IFERROR(HLOOKUP(E$2,$M$2:$BL84,$J84,FALSE),""))</f>
        <v/>
      </c>
      <c r="F84" s="18" t="str">
        <f>IF(IFERROR(HLOOKUP(F$2,$M$2:$BL84,$J84,FALSE),"")="","",IFERROR(HLOOKUP(F$2,$M$2:$BL84,$J84,FALSE),""))</f>
        <v/>
      </c>
      <c r="G84" s="18" t="str">
        <f>IF(IFERROR(HLOOKUP(G$2,$M$2:$BL84,$J84,FALSE),"")="","",IFERROR(HLOOKUP(G$2,$M$2:$BL84,$J84,FALSE),""))</f>
        <v/>
      </c>
      <c r="H84" s="18"/>
      <c r="J84" s="16">
        <f t="shared" si="8"/>
        <v>83</v>
      </c>
      <c r="K84" s="15" t="s">
        <v>338</v>
      </c>
      <c r="S84" s="15" t="s">
        <v>593</v>
      </c>
      <c r="T84" s="15" t="s">
        <v>594</v>
      </c>
      <c r="W84" s="15" t="s">
        <v>564</v>
      </c>
    </row>
    <row r="85" spans="1:25" ht="15" customHeight="1">
      <c r="A85" s="12" t="str">
        <f t="shared" ref="A85:A90" si="11">+L85</f>
        <v>AA and above</v>
      </c>
      <c r="B85" s="12" t="str">
        <f>IF(IFERROR(HLOOKUP(B$2,$M$2:$BL85,$J85,FALSE),"")="","",IFERROR(HLOOKUP(B$2,$M$2:$BL85,$J85,FALSE),""))</f>
        <v/>
      </c>
      <c r="C85" s="12" t="str">
        <f>IF(IFERROR(HLOOKUP(C$2,$M$2:$BL85,$J85,FALSE),"")="","",IFERROR(HLOOKUP(C$2,$M$2:$BL85,$J85,FALSE),""))</f>
        <v/>
      </c>
      <c r="D85" s="12" t="str">
        <f>IF(IFERROR(HLOOKUP(D$2,$M$2:$BL85,$J85,FALSE),"")="","",IFERROR(HLOOKUP(D$2,$M$2:$BL85,$J85,FALSE),""))</f>
        <v/>
      </c>
      <c r="E85" s="12" t="str">
        <f>IF(IFERROR(HLOOKUP(E$2,$M$2:$BL85,$J85,FALSE),"")="","",IFERROR(HLOOKUP(E$2,$M$2:$BL85,$J85,FALSE),""))</f>
        <v/>
      </c>
      <c r="F85" s="12" t="str">
        <f>IF(IFERROR(HLOOKUP(F$2,$M$2:$BL85,$J85,FALSE),"")="","",IFERROR(HLOOKUP(F$2,$M$2:$BL85,$J85,FALSE),""))</f>
        <v/>
      </c>
      <c r="G85" s="12" t="str">
        <f>IF(IFERROR(HLOOKUP(G$2,$M$2:$BL85,$J85,FALSE),"")="","",IFERROR(HLOOKUP(G$2,$M$2:$BL85,$J85,FALSE),""))</f>
        <v/>
      </c>
      <c r="J85" s="13">
        <f t="shared" si="8"/>
        <v>84</v>
      </c>
      <c r="L85" s="12" t="s">
        <v>78</v>
      </c>
      <c r="S85" s="17" t="s">
        <v>595</v>
      </c>
      <c r="T85" s="12" t="s">
        <v>596</v>
      </c>
      <c r="W85" s="12" t="s">
        <v>570</v>
      </c>
    </row>
    <row r="86" spans="1:25" ht="15" customHeight="1">
      <c r="A86" s="12" t="str">
        <f t="shared" si="11"/>
        <v>A</v>
      </c>
      <c r="B86" s="12" t="str">
        <f>IF(IFERROR(HLOOKUP(B$2,$M$2:$BL86,$J86,FALSE),"")="","",IFERROR(HLOOKUP(B$2,$M$2:$BL86,$J86,FALSE),""))</f>
        <v/>
      </c>
      <c r="C86" s="12" t="str">
        <f>IF(IFERROR(HLOOKUP(C$2,$M$2:$BL86,$J86,FALSE),"")="","",IFERROR(HLOOKUP(C$2,$M$2:$BL86,$J86,FALSE),""))</f>
        <v/>
      </c>
      <c r="D86" s="12" t="str">
        <f>IF(IFERROR(HLOOKUP(D$2,$M$2:$BL86,$J86,FALSE),"")="","",IFERROR(HLOOKUP(D$2,$M$2:$BL86,$J86,FALSE),""))</f>
        <v/>
      </c>
      <c r="E86" s="12" t="str">
        <f>IF(IFERROR(HLOOKUP(E$2,$M$2:$BL86,$J86,FALSE),"")="","",IFERROR(HLOOKUP(E$2,$M$2:$BL86,$J86,FALSE),""))</f>
        <v/>
      </c>
      <c r="F86" s="12" t="str">
        <f>IF(IFERROR(HLOOKUP(F$2,$M$2:$BL86,$J86,FALSE),"")="","",IFERROR(HLOOKUP(F$2,$M$2:$BL86,$J86,FALSE),""))</f>
        <v/>
      </c>
      <c r="G86" s="12" t="str">
        <f>IF(IFERROR(HLOOKUP(G$2,$M$2:$BL86,$J86,FALSE),"")="","",IFERROR(HLOOKUP(G$2,$M$2:$BL86,$J86,FALSE),""))</f>
        <v/>
      </c>
      <c r="J86" s="13">
        <f t="shared" si="8"/>
        <v>85</v>
      </c>
      <c r="L86" s="12" t="s">
        <v>8</v>
      </c>
      <c r="S86" s="17" t="s">
        <v>595</v>
      </c>
      <c r="T86" s="12" t="s">
        <v>597</v>
      </c>
      <c r="W86" s="12" t="s">
        <v>573</v>
      </c>
    </row>
    <row r="87" spans="1:25" ht="15" customHeight="1">
      <c r="A87" s="12" t="str">
        <f t="shared" si="11"/>
        <v>BBB</v>
      </c>
      <c r="B87" s="12" t="str">
        <f>IF(IFERROR(HLOOKUP(B$2,$M$2:$BL87,$J87,FALSE),"")="","",IFERROR(HLOOKUP(B$2,$M$2:$BL87,$J87,FALSE),""))</f>
        <v/>
      </c>
      <c r="C87" s="12" t="str">
        <f>IF(IFERROR(HLOOKUP(C$2,$M$2:$BL87,$J87,FALSE),"")="","",IFERROR(HLOOKUP(C$2,$M$2:$BL87,$J87,FALSE),""))</f>
        <v/>
      </c>
      <c r="D87" s="12" t="str">
        <f>IF(IFERROR(HLOOKUP(D$2,$M$2:$BL87,$J87,FALSE),"")="","",IFERROR(HLOOKUP(D$2,$M$2:$BL87,$J87,FALSE),""))</f>
        <v/>
      </c>
      <c r="E87" s="12" t="str">
        <f>IF(IFERROR(HLOOKUP(E$2,$M$2:$BL87,$J87,FALSE),"")="","",IFERROR(HLOOKUP(E$2,$M$2:$BL87,$J87,FALSE),""))</f>
        <v/>
      </c>
      <c r="F87" s="12" t="str">
        <f>IF(IFERROR(HLOOKUP(F$2,$M$2:$BL87,$J87,FALSE),"")="","",IFERROR(HLOOKUP(F$2,$M$2:$BL87,$J87,FALSE),""))</f>
        <v/>
      </c>
      <c r="G87" s="12" t="str">
        <f>IF(IFERROR(HLOOKUP(G$2,$M$2:$BL87,$J87,FALSE),"")="","",IFERROR(HLOOKUP(G$2,$M$2:$BL87,$J87,FALSE),""))</f>
        <v/>
      </c>
      <c r="J87" s="13">
        <f t="shared" si="8"/>
        <v>86</v>
      </c>
      <c r="L87" s="12" t="s">
        <v>118</v>
      </c>
      <c r="S87" s="17" t="s">
        <v>598</v>
      </c>
      <c r="T87" s="12" t="s">
        <v>599</v>
      </c>
      <c r="W87" s="12" t="s">
        <v>579</v>
      </c>
    </row>
    <row r="88" spans="1:25" ht="15" customHeight="1">
      <c r="A88" s="12" t="str">
        <f t="shared" si="11"/>
        <v>BB</v>
      </c>
      <c r="B88" s="12" t="str">
        <f>IF(IFERROR(HLOOKUP(B$2,$M$2:$BL88,$J88,FALSE),"")="","",IFERROR(HLOOKUP(B$2,$M$2:$BL88,$J88,FALSE),""))</f>
        <v/>
      </c>
      <c r="C88" s="12" t="str">
        <f>IF(IFERROR(HLOOKUP(C$2,$M$2:$BL88,$J88,FALSE),"")="","",IFERROR(HLOOKUP(C$2,$M$2:$BL88,$J88,FALSE),""))</f>
        <v/>
      </c>
      <c r="D88" s="12" t="str">
        <f>IF(IFERROR(HLOOKUP(D$2,$M$2:$BL88,$J88,FALSE),"")="","",IFERROR(HLOOKUP(D$2,$M$2:$BL88,$J88,FALSE),""))</f>
        <v/>
      </c>
      <c r="E88" s="12" t="str">
        <f>IF(IFERROR(HLOOKUP(E$2,$M$2:$BL88,$J88,FALSE),"")="","",IFERROR(HLOOKUP(E$2,$M$2:$BL88,$J88,FALSE),""))</f>
        <v/>
      </c>
      <c r="F88" s="12" t="str">
        <f>IF(IFERROR(HLOOKUP(F$2,$M$2:$BL88,$J88,FALSE),"")="","",IFERROR(HLOOKUP(F$2,$M$2:$BL88,$J88,FALSE),""))</f>
        <v/>
      </c>
      <c r="G88" s="12" t="str">
        <f>IF(IFERROR(HLOOKUP(G$2,$M$2:$BL88,$J88,FALSE),"")="","",IFERROR(HLOOKUP(G$2,$M$2:$BL88,$J88,FALSE),""))</f>
        <v/>
      </c>
      <c r="J88" s="13">
        <f t="shared" si="8"/>
        <v>87</v>
      </c>
      <c r="L88" s="12" t="s">
        <v>139</v>
      </c>
      <c r="S88" s="17" t="s">
        <v>600</v>
      </c>
      <c r="T88" s="12" t="s">
        <v>601</v>
      </c>
      <c r="W88" s="12" t="s">
        <v>585</v>
      </c>
    </row>
    <row r="89" spans="1:25" ht="15" customHeight="1">
      <c r="A89" s="12" t="str">
        <f t="shared" si="11"/>
        <v>B</v>
      </c>
      <c r="B89" s="12" t="str">
        <f>IF(IFERROR(HLOOKUP(B$2,$M$2:$BL89,$J89,FALSE),"")="","",IFERROR(HLOOKUP(B$2,$M$2:$BL89,$J89,FALSE),""))</f>
        <v/>
      </c>
      <c r="C89" s="12" t="str">
        <f>IF(IFERROR(HLOOKUP(C$2,$M$2:$BL89,$J89,FALSE),"")="","",IFERROR(HLOOKUP(C$2,$M$2:$BL89,$J89,FALSE),""))</f>
        <v/>
      </c>
      <c r="D89" s="12" t="str">
        <f>IF(IFERROR(HLOOKUP(D$2,$M$2:$BL89,$J89,FALSE),"")="","",IFERROR(HLOOKUP(D$2,$M$2:$BL89,$J89,FALSE),""))</f>
        <v/>
      </c>
      <c r="E89" s="12" t="str">
        <f>IF(IFERROR(HLOOKUP(E$2,$M$2:$BL89,$J89,FALSE),"")="","",IFERROR(HLOOKUP(E$2,$M$2:$BL89,$J89,FALSE),""))</f>
        <v/>
      </c>
      <c r="F89" s="12" t="str">
        <f>IF(IFERROR(HLOOKUP(F$2,$M$2:$BL89,$J89,FALSE),"")="","",IFERROR(HLOOKUP(F$2,$M$2:$BL89,$J89,FALSE),""))</f>
        <v/>
      </c>
      <c r="G89" s="12" t="str">
        <f>IF(IFERROR(HLOOKUP(G$2,$M$2:$BL89,$J89,FALSE),"")="","",IFERROR(HLOOKUP(G$2,$M$2:$BL89,$J89,FALSE),""))</f>
        <v/>
      </c>
      <c r="J89" s="13">
        <f t="shared" si="8"/>
        <v>88</v>
      </c>
      <c r="L89" s="12" t="s">
        <v>179</v>
      </c>
      <c r="S89" s="17" t="s">
        <v>273</v>
      </c>
      <c r="T89" s="12" t="s">
        <v>602</v>
      </c>
      <c r="W89" s="12" t="s">
        <v>590</v>
      </c>
    </row>
    <row r="90" spans="1:25" ht="15" customHeight="1">
      <c r="A90" s="12" t="str">
        <f t="shared" si="11"/>
        <v>CCC and below</v>
      </c>
      <c r="B90" s="12" t="str">
        <f>IF(IFERROR(HLOOKUP(B$2,$M$2:$BL90,$J90,FALSE),"")="","",IFERROR(HLOOKUP(B$2,$M$2:$BL90,$J90,FALSE),""))</f>
        <v/>
      </c>
      <c r="C90" s="12" t="str">
        <f>IF(IFERROR(HLOOKUP(C$2,$M$2:$BL90,$J90,FALSE),"")="","",IFERROR(HLOOKUP(C$2,$M$2:$BL90,$J90,FALSE),""))</f>
        <v/>
      </c>
      <c r="D90" s="12" t="str">
        <f>IF(IFERROR(HLOOKUP(D$2,$M$2:$BL90,$J90,FALSE),"")="","",IFERROR(HLOOKUP(D$2,$M$2:$BL90,$J90,FALSE),""))</f>
        <v/>
      </c>
      <c r="E90" s="12" t="str">
        <f>IF(IFERROR(HLOOKUP(E$2,$M$2:$BL90,$J90,FALSE),"")="","",IFERROR(HLOOKUP(E$2,$M$2:$BL90,$J90,FALSE),""))</f>
        <v/>
      </c>
      <c r="F90" s="12" t="str">
        <f>IF(IFERROR(HLOOKUP(F$2,$M$2:$BL90,$J90,FALSE),"")="","",IFERROR(HLOOKUP(F$2,$M$2:$BL90,$J90,FALSE),""))</f>
        <v/>
      </c>
      <c r="G90" s="12" t="str">
        <f>IF(IFERROR(HLOOKUP(G$2,$M$2:$BL90,$J90,FALSE),"")="","",IFERROR(HLOOKUP(G$2,$M$2:$BL90,$J90,FALSE),""))</f>
        <v/>
      </c>
      <c r="J90" s="13">
        <f t="shared" si="8"/>
        <v>89</v>
      </c>
      <c r="L90" s="12" t="s">
        <v>205</v>
      </c>
      <c r="S90" s="17" t="s">
        <v>603</v>
      </c>
      <c r="T90" s="12" t="s">
        <v>148</v>
      </c>
      <c r="W90" s="12" t="s">
        <v>590</v>
      </c>
    </row>
    <row r="91" spans="1:25">
      <c r="J91" s="13">
        <f t="shared" si="8"/>
        <v>90</v>
      </c>
    </row>
    <row r="92" spans="1:25">
      <c r="B92" s="15" t="s">
        <v>604</v>
      </c>
      <c r="C92" s="15" t="s">
        <v>605</v>
      </c>
      <c r="D92" s="15" t="s">
        <v>606</v>
      </c>
      <c r="E92" s="15" t="s">
        <v>607</v>
      </c>
      <c r="F92" s="15" t="s">
        <v>608</v>
      </c>
      <c r="G92" s="15" t="s">
        <v>609</v>
      </c>
      <c r="H92" s="15"/>
      <c r="J92" s="13">
        <f t="shared" si="8"/>
        <v>91</v>
      </c>
    </row>
    <row r="93" spans="1:25">
      <c r="B93" s="15" t="s">
        <v>610</v>
      </c>
      <c r="C93" s="15" t="s">
        <v>611</v>
      </c>
      <c r="D93" s="15" t="s">
        <v>612</v>
      </c>
      <c r="E93" s="15" t="s">
        <v>613</v>
      </c>
      <c r="F93" s="15" t="s">
        <v>614</v>
      </c>
      <c r="G93" s="15" t="s">
        <v>615</v>
      </c>
      <c r="H93" s="15"/>
      <c r="J93" s="13">
        <f t="shared" si="8"/>
        <v>92</v>
      </c>
    </row>
    <row r="94" spans="1:25">
      <c r="B94" s="15" t="s">
        <v>616</v>
      </c>
      <c r="C94" s="15" t="s">
        <v>617</v>
      </c>
      <c r="D94" s="15" t="s">
        <v>618</v>
      </c>
      <c r="E94" s="15" t="s">
        <v>619</v>
      </c>
      <c r="F94" s="15" t="s">
        <v>620</v>
      </c>
      <c r="G94" s="15" t="s">
        <v>621</v>
      </c>
      <c r="H94" s="15"/>
      <c r="J94" s="13">
        <f t="shared" si="8"/>
        <v>93</v>
      </c>
    </row>
    <row r="95" spans="1:25">
      <c r="B95" s="15" t="s">
        <v>622</v>
      </c>
      <c r="C95" s="15" t="s">
        <v>623</v>
      </c>
      <c r="D95" s="15" t="s">
        <v>624</v>
      </c>
      <c r="E95" s="15" t="s">
        <v>625</v>
      </c>
      <c r="F95" s="15" t="s">
        <v>626</v>
      </c>
      <c r="G95" s="15" t="s">
        <v>627</v>
      </c>
      <c r="H95" s="15"/>
      <c r="J95" s="13">
        <f t="shared" si="8"/>
        <v>94</v>
      </c>
    </row>
    <row r="96" spans="1:25">
      <c r="B96" s="15" t="s">
        <v>628</v>
      </c>
      <c r="C96" s="15" t="s">
        <v>629</v>
      </c>
      <c r="D96" s="15" t="s">
        <v>630</v>
      </c>
      <c r="E96" s="15" t="s">
        <v>631</v>
      </c>
      <c r="F96" s="15" t="s">
        <v>632</v>
      </c>
      <c r="G96" s="15" t="s">
        <v>633</v>
      </c>
      <c r="H96" s="15"/>
      <c r="J96" s="13">
        <f t="shared" si="8"/>
        <v>95</v>
      </c>
    </row>
    <row r="97" spans="1:26">
      <c r="J97" s="13">
        <f t="shared" si="8"/>
        <v>96</v>
      </c>
    </row>
    <row r="98" spans="1:26" ht="15" customHeight="1">
      <c r="J98" s="13">
        <f t="shared" si="8"/>
        <v>97</v>
      </c>
    </row>
    <row r="99" spans="1:26" ht="15" customHeight="1">
      <c r="A99" s="20" t="s">
        <v>634</v>
      </c>
      <c r="J99" s="13">
        <f t="shared" si="8"/>
        <v>98</v>
      </c>
      <c r="K99" s="14" t="str">
        <f>+A99</f>
        <v>[Operating profitability]</v>
      </c>
    </row>
    <row r="100" spans="1:26" s="15" customFormat="1" ht="15" customHeight="1">
      <c r="A100" s="18" t="str">
        <f>+K100</f>
        <v>Factor 1</v>
      </c>
      <c r="B100" s="18" t="str">
        <f>IF(IFERROR(HLOOKUP(B$2,$M$2:$BL100,$J100,FALSE),"")="","",IFERROR(HLOOKUP(B$2,$M$2:$BL100,$J100,FALSE),""))</f>
        <v/>
      </c>
      <c r="C100" s="18" t="str">
        <f>IF(IFERROR(HLOOKUP(C$2,$M$2:$BL100,$J100,FALSE),"")="","",IFERROR(HLOOKUP(C$2,$M$2:$BL100,$J100,FALSE),""))</f>
        <v/>
      </c>
      <c r="D100" s="18" t="str">
        <f>IF(IFERROR(HLOOKUP(D$2,$M$2:$BL100,$J100,FALSE),"")="","",IFERROR(HLOOKUP(D$2,$M$2:$BL100,$J100,FALSE),""))</f>
        <v/>
      </c>
      <c r="E100" s="18" t="str">
        <f>IF(IFERROR(HLOOKUP(E$2,$M$2:$BL100,$J100,FALSE),"")="","",IFERROR(HLOOKUP(E$2,$M$2:$BL100,$J100,FALSE),""))</f>
        <v/>
      </c>
      <c r="F100" s="18" t="str">
        <f>IF(IFERROR(HLOOKUP(F$2,$M$2:$BL100,$J100,FALSE),"")="","",IFERROR(HLOOKUP(F$2,$M$2:$BL100,$J100,FALSE),""))</f>
        <v/>
      </c>
      <c r="G100" s="18" t="str">
        <f>IF(IFERROR(HLOOKUP(G$2,$M$2:$BL100,$J100,FALSE),"")="","",IFERROR(HLOOKUP(G$2,$M$2:$BL100,$J100,FALSE),""))</f>
        <v/>
      </c>
      <c r="H100" s="18"/>
      <c r="J100" s="16">
        <f t="shared" si="8"/>
        <v>99</v>
      </c>
      <c r="K100" s="15" t="s">
        <v>124</v>
      </c>
      <c r="M100" s="15" t="s">
        <v>635</v>
      </c>
      <c r="N100" s="15" t="s">
        <v>636</v>
      </c>
      <c r="O100" s="15" t="s">
        <v>635</v>
      </c>
      <c r="P100" s="15" t="s">
        <v>637</v>
      </c>
      <c r="Q100" s="15" t="s">
        <v>635</v>
      </c>
      <c r="R100" s="15" t="s">
        <v>635</v>
      </c>
      <c r="S100" s="15" t="s">
        <v>638</v>
      </c>
      <c r="T100" s="15" t="s">
        <v>639</v>
      </c>
      <c r="V100" s="15" t="s">
        <v>637</v>
      </c>
      <c r="W100" s="15" t="s">
        <v>640</v>
      </c>
      <c r="X100" s="15" t="s">
        <v>641</v>
      </c>
      <c r="Y100" s="15" t="s">
        <v>641</v>
      </c>
      <c r="Z100" s="15" t="s">
        <v>635</v>
      </c>
    </row>
    <row r="101" spans="1:26" ht="15" customHeight="1">
      <c r="A101" s="12" t="str">
        <f t="shared" ref="A101:A106" si="12">+L101</f>
        <v>AA and above</v>
      </c>
      <c r="B101" s="12" t="str">
        <f>IF(IFERROR(HLOOKUP(B$2,$M$2:$BL101,$J101,FALSE),"")="","",IFERROR(HLOOKUP(B$2,$M$2:$BL101,$J101,FALSE),""))</f>
        <v/>
      </c>
      <c r="C101" s="12" t="str">
        <f>IF(IFERROR(HLOOKUP(C$2,$M$2:$BL101,$J101,FALSE),"")="","",IFERROR(HLOOKUP(C$2,$M$2:$BL101,$J101,FALSE),""))</f>
        <v/>
      </c>
      <c r="D101" s="12" t="str">
        <f>IF(IFERROR(HLOOKUP(D$2,$M$2:$BL101,$J101,FALSE),"")="","",IFERROR(HLOOKUP(D$2,$M$2:$BL101,$J101,FALSE),""))</f>
        <v/>
      </c>
      <c r="E101" s="12" t="str">
        <f>IF(IFERROR(HLOOKUP(E$2,$M$2:$BL101,$J101,FALSE),"")="","",IFERROR(HLOOKUP(E$2,$M$2:$BL101,$J101,FALSE),""))</f>
        <v/>
      </c>
      <c r="F101" s="12" t="str">
        <f>IF(IFERROR(HLOOKUP(F$2,$M$2:$BL101,$J101,FALSE),"")="","",IFERROR(HLOOKUP(F$2,$M$2:$BL101,$J101,FALSE),""))</f>
        <v/>
      </c>
      <c r="G101" s="12" t="str">
        <f>IF(IFERROR(HLOOKUP(G$2,$M$2:$BL101,$J101,FALSE),"")="","",IFERROR(HLOOKUP(G$2,$M$2:$BL101,$J101,FALSE),""))</f>
        <v/>
      </c>
      <c r="J101" s="13">
        <f t="shared" si="8"/>
        <v>100</v>
      </c>
      <c r="L101" s="12" t="s">
        <v>78</v>
      </c>
      <c r="M101" s="12" t="s">
        <v>642</v>
      </c>
      <c r="N101" s="12" t="s">
        <v>643</v>
      </c>
      <c r="O101" s="12" t="s">
        <v>644</v>
      </c>
      <c r="P101" s="12" t="s">
        <v>645</v>
      </c>
      <c r="Q101" s="12" t="s">
        <v>646</v>
      </c>
      <c r="R101" s="12" t="s">
        <v>324</v>
      </c>
      <c r="S101" s="12" t="s">
        <v>457</v>
      </c>
      <c r="T101" s="12" t="s">
        <v>491</v>
      </c>
      <c r="V101" s="12" t="s">
        <v>148</v>
      </c>
      <c r="W101" s="12" t="s">
        <v>491</v>
      </c>
      <c r="X101" s="12" t="s">
        <v>647</v>
      </c>
      <c r="Y101" s="12" t="s">
        <v>648</v>
      </c>
      <c r="Z101" s="12" t="s">
        <v>291</v>
      </c>
    </row>
    <row r="102" spans="1:26" ht="15" customHeight="1">
      <c r="A102" s="12" t="str">
        <f t="shared" si="12"/>
        <v>A</v>
      </c>
      <c r="B102" s="12" t="str">
        <f>IF(IFERROR(HLOOKUP(B$2,$M$2:$BL102,$J102,FALSE),"")="","",IFERROR(HLOOKUP(B$2,$M$2:$BL102,$J102,FALSE),""))</f>
        <v/>
      </c>
      <c r="C102" s="12" t="str">
        <f>IF(IFERROR(HLOOKUP(C$2,$M$2:$BL102,$J102,FALSE),"")="","",IFERROR(HLOOKUP(C$2,$M$2:$BL102,$J102,FALSE),""))</f>
        <v/>
      </c>
      <c r="D102" s="12" t="str">
        <f>IF(IFERROR(HLOOKUP(D$2,$M$2:$BL102,$J102,FALSE),"")="","",IFERROR(HLOOKUP(D$2,$M$2:$BL102,$J102,FALSE),""))</f>
        <v/>
      </c>
      <c r="E102" s="12" t="str">
        <f>IF(IFERROR(HLOOKUP(E$2,$M$2:$BL102,$J102,FALSE),"")="","",IFERROR(HLOOKUP(E$2,$M$2:$BL102,$J102,FALSE),""))</f>
        <v/>
      </c>
      <c r="F102" s="12" t="str">
        <f>IF(IFERROR(HLOOKUP(F$2,$M$2:$BL102,$J102,FALSE),"")="","",IFERROR(HLOOKUP(F$2,$M$2:$BL102,$J102,FALSE),""))</f>
        <v/>
      </c>
      <c r="G102" s="12" t="str">
        <f>IF(IFERROR(HLOOKUP(G$2,$M$2:$BL102,$J102,FALSE),"")="","",IFERROR(HLOOKUP(G$2,$M$2:$BL102,$J102,FALSE),""))</f>
        <v/>
      </c>
      <c r="J102" s="13">
        <f t="shared" si="8"/>
        <v>101</v>
      </c>
      <c r="L102" s="12" t="s">
        <v>8</v>
      </c>
      <c r="M102" s="12" t="s">
        <v>649</v>
      </c>
      <c r="N102" s="12" t="s">
        <v>458</v>
      </c>
      <c r="O102" s="12" t="s">
        <v>650</v>
      </c>
      <c r="P102" s="12" t="s">
        <v>651</v>
      </c>
      <c r="Q102" s="12" t="s">
        <v>652</v>
      </c>
      <c r="R102" s="12" t="s">
        <v>653</v>
      </c>
      <c r="S102" s="12" t="s">
        <v>457</v>
      </c>
      <c r="T102" s="12" t="s">
        <v>654</v>
      </c>
      <c r="V102" s="12" t="s">
        <v>655</v>
      </c>
      <c r="W102" s="12" t="s">
        <v>656</v>
      </c>
      <c r="X102" s="12" t="s">
        <v>657</v>
      </c>
      <c r="Y102" s="12" t="s">
        <v>658</v>
      </c>
      <c r="Z102" s="12" t="s">
        <v>295</v>
      </c>
    </row>
    <row r="103" spans="1:26" ht="15" customHeight="1">
      <c r="A103" s="12" t="str">
        <f t="shared" si="12"/>
        <v>BBB</v>
      </c>
      <c r="B103" s="12" t="str">
        <f>IF(IFERROR(HLOOKUP(B$2,$M$2:$BL103,$J103,FALSE),"")="","",IFERROR(HLOOKUP(B$2,$M$2:$BL103,$J103,FALSE),""))</f>
        <v/>
      </c>
      <c r="C103" s="12" t="str">
        <f>IF(IFERROR(HLOOKUP(C$2,$M$2:$BL103,$J103,FALSE),"")="","",IFERROR(HLOOKUP(C$2,$M$2:$BL103,$J103,FALSE),""))</f>
        <v/>
      </c>
      <c r="D103" s="12" t="str">
        <f>IF(IFERROR(HLOOKUP(D$2,$M$2:$BL103,$J103,FALSE),"")="","",IFERROR(HLOOKUP(D$2,$M$2:$BL103,$J103,FALSE),""))</f>
        <v/>
      </c>
      <c r="E103" s="12" t="str">
        <f>IF(IFERROR(HLOOKUP(E$2,$M$2:$BL103,$J103,FALSE),"")="","",IFERROR(HLOOKUP(E$2,$M$2:$BL103,$J103,FALSE),""))</f>
        <v/>
      </c>
      <c r="F103" s="12" t="str">
        <f>IF(IFERROR(HLOOKUP(F$2,$M$2:$BL103,$J103,FALSE),"")="","",IFERROR(HLOOKUP(F$2,$M$2:$BL103,$J103,FALSE),""))</f>
        <v/>
      </c>
      <c r="G103" s="12" t="str">
        <f>IF(IFERROR(HLOOKUP(G$2,$M$2:$BL103,$J103,FALSE),"")="","",IFERROR(HLOOKUP(G$2,$M$2:$BL103,$J103,FALSE),""))</f>
        <v/>
      </c>
      <c r="J103" s="13">
        <f t="shared" si="8"/>
        <v>102</v>
      </c>
      <c r="L103" s="12" t="s">
        <v>118</v>
      </c>
      <c r="M103" s="12" t="s">
        <v>659</v>
      </c>
      <c r="N103" s="12" t="s">
        <v>660</v>
      </c>
      <c r="O103" s="12" t="s">
        <v>661</v>
      </c>
      <c r="P103" s="12" t="s">
        <v>662</v>
      </c>
      <c r="Q103" s="12" t="s">
        <v>649</v>
      </c>
      <c r="R103" s="12" t="s">
        <v>663</v>
      </c>
      <c r="S103" s="12" t="s">
        <v>664</v>
      </c>
      <c r="T103" s="12" t="s">
        <v>665</v>
      </c>
      <c r="V103" s="12" t="s">
        <v>666</v>
      </c>
      <c r="W103" s="12" t="s">
        <v>667</v>
      </c>
      <c r="X103" s="12" t="s">
        <v>660</v>
      </c>
      <c r="Y103" s="12" t="s">
        <v>668</v>
      </c>
      <c r="Z103" s="12" t="s">
        <v>300</v>
      </c>
    </row>
    <row r="104" spans="1:26" ht="15" customHeight="1">
      <c r="A104" s="12" t="str">
        <f t="shared" si="12"/>
        <v>BB</v>
      </c>
      <c r="B104" s="12" t="str">
        <f>IF(IFERROR(HLOOKUP(B$2,$M$2:$BL104,$J104,FALSE),"")="","",IFERROR(HLOOKUP(B$2,$M$2:$BL104,$J104,FALSE),""))</f>
        <v/>
      </c>
      <c r="C104" s="12" t="str">
        <f>IF(IFERROR(HLOOKUP(C$2,$M$2:$BL104,$J104,FALSE),"")="","",IFERROR(HLOOKUP(C$2,$M$2:$BL104,$J104,FALSE),""))</f>
        <v/>
      </c>
      <c r="D104" s="12" t="str">
        <f>IF(IFERROR(HLOOKUP(D$2,$M$2:$BL104,$J104,FALSE),"")="","",IFERROR(HLOOKUP(D$2,$M$2:$BL104,$J104,FALSE),""))</f>
        <v/>
      </c>
      <c r="E104" s="12" t="str">
        <f>IF(IFERROR(HLOOKUP(E$2,$M$2:$BL104,$J104,FALSE),"")="","",IFERROR(HLOOKUP(E$2,$M$2:$BL104,$J104,FALSE),""))</f>
        <v/>
      </c>
      <c r="F104" s="12" t="str">
        <f>IF(IFERROR(HLOOKUP(F$2,$M$2:$BL104,$J104,FALSE),"")="","",IFERROR(HLOOKUP(F$2,$M$2:$BL104,$J104,FALSE),""))</f>
        <v/>
      </c>
      <c r="G104" s="12" t="str">
        <f>IF(IFERROR(HLOOKUP(G$2,$M$2:$BL104,$J104,FALSE),"")="","",IFERROR(HLOOKUP(G$2,$M$2:$BL104,$J104,FALSE),""))</f>
        <v/>
      </c>
      <c r="J104" s="13">
        <f t="shared" si="8"/>
        <v>103</v>
      </c>
      <c r="L104" s="12" t="s">
        <v>139</v>
      </c>
      <c r="M104" s="12" t="s">
        <v>669</v>
      </c>
      <c r="N104" s="12" t="s">
        <v>521</v>
      </c>
      <c r="O104" s="12" t="s">
        <v>670</v>
      </c>
      <c r="P104" s="12" t="s">
        <v>671</v>
      </c>
      <c r="Q104" s="12" t="s">
        <v>672</v>
      </c>
      <c r="R104" s="12" t="s">
        <v>673</v>
      </c>
      <c r="S104" s="12" t="s">
        <v>664</v>
      </c>
      <c r="T104" s="12" t="s">
        <v>674</v>
      </c>
      <c r="V104" s="12" t="s">
        <v>675</v>
      </c>
      <c r="W104" s="12" t="s">
        <v>458</v>
      </c>
      <c r="X104" s="12" t="s">
        <v>521</v>
      </c>
      <c r="Y104" s="12" t="s">
        <v>657</v>
      </c>
      <c r="Z104" s="12" t="s">
        <v>306</v>
      </c>
    </row>
    <row r="105" spans="1:26" ht="15" customHeight="1">
      <c r="A105" s="12" t="str">
        <f t="shared" si="12"/>
        <v>B</v>
      </c>
      <c r="B105" s="12" t="str">
        <f>IF(IFERROR(HLOOKUP(B$2,$M$2:$BL105,$J105,FALSE),"")="","",IFERROR(HLOOKUP(B$2,$M$2:$BL105,$J105,FALSE),""))</f>
        <v/>
      </c>
      <c r="C105" s="12" t="str">
        <f>IF(IFERROR(HLOOKUP(C$2,$M$2:$BL105,$J105,FALSE),"")="","",IFERROR(HLOOKUP(C$2,$M$2:$BL105,$J105,FALSE),""))</f>
        <v/>
      </c>
      <c r="D105" s="12" t="str">
        <f>IF(IFERROR(HLOOKUP(D$2,$M$2:$BL105,$J105,FALSE),"")="","",IFERROR(HLOOKUP(D$2,$M$2:$BL105,$J105,FALSE),""))</f>
        <v/>
      </c>
      <c r="E105" s="12" t="str">
        <f>IF(IFERROR(HLOOKUP(E$2,$M$2:$BL105,$J105,FALSE),"")="","",IFERROR(HLOOKUP(E$2,$M$2:$BL105,$J105,FALSE),""))</f>
        <v/>
      </c>
      <c r="F105" s="12" t="str">
        <f>IF(IFERROR(HLOOKUP(F$2,$M$2:$BL105,$J105,FALSE),"")="","",IFERROR(HLOOKUP(F$2,$M$2:$BL105,$J105,FALSE),""))</f>
        <v/>
      </c>
      <c r="G105" s="12" t="str">
        <f>IF(IFERROR(HLOOKUP(G$2,$M$2:$BL105,$J105,FALSE),"")="","",IFERROR(HLOOKUP(G$2,$M$2:$BL105,$J105,FALSE),""))</f>
        <v/>
      </c>
      <c r="J105" s="13">
        <f t="shared" si="8"/>
        <v>104</v>
      </c>
      <c r="L105" s="12" t="s">
        <v>179</v>
      </c>
      <c r="M105" s="12" t="s">
        <v>676</v>
      </c>
      <c r="N105" s="12" t="s">
        <v>529</v>
      </c>
      <c r="O105" s="12" t="s">
        <v>677</v>
      </c>
      <c r="P105" s="12" t="s">
        <v>678</v>
      </c>
      <c r="Q105" s="12" t="s">
        <v>679</v>
      </c>
      <c r="R105" s="12" t="s">
        <v>680</v>
      </c>
      <c r="S105" s="12" t="s">
        <v>489</v>
      </c>
      <c r="T105" s="12" t="s">
        <v>264</v>
      </c>
      <c r="V105" s="12" t="s">
        <v>681</v>
      </c>
      <c r="W105" s="12" t="s">
        <v>451</v>
      </c>
      <c r="X105" s="12" t="s">
        <v>529</v>
      </c>
      <c r="Y105" s="12" t="s">
        <v>242</v>
      </c>
      <c r="Z105" s="12" t="s">
        <v>682</v>
      </c>
    </row>
    <row r="106" spans="1:26" ht="15" customHeight="1">
      <c r="A106" s="12" t="str">
        <f t="shared" si="12"/>
        <v>CCC and below</v>
      </c>
      <c r="B106" s="12" t="str">
        <f>IF(IFERROR(HLOOKUP(B$2,$M$2:$BL106,$J106,FALSE),"")="","",IFERROR(HLOOKUP(B$2,$M$2:$BL106,$J106,FALSE),""))</f>
        <v/>
      </c>
      <c r="C106" s="12" t="str">
        <f>IF(IFERROR(HLOOKUP(C$2,$M$2:$BL106,$J106,FALSE),"")="","",IFERROR(HLOOKUP(C$2,$M$2:$BL106,$J106,FALSE),""))</f>
        <v/>
      </c>
      <c r="D106" s="12" t="str">
        <f>IF(IFERROR(HLOOKUP(D$2,$M$2:$BL106,$J106,FALSE),"")="","",IFERROR(HLOOKUP(D$2,$M$2:$BL106,$J106,FALSE),""))</f>
        <v/>
      </c>
      <c r="E106" s="12" t="str">
        <f>IF(IFERROR(HLOOKUP(E$2,$M$2:$BL106,$J106,FALSE),"")="","",IFERROR(HLOOKUP(E$2,$M$2:$BL106,$J106,FALSE),""))</f>
        <v/>
      </c>
      <c r="F106" s="12" t="str">
        <f>IF(IFERROR(HLOOKUP(F$2,$M$2:$BL106,$J106,FALSE),"")="","",IFERROR(HLOOKUP(F$2,$M$2:$BL106,$J106,FALSE),""))</f>
        <v/>
      </c>
      <c r="G106" s="12" t="str">
        <f>IF(IFERROR(HLOOKUP(G$2,$M$2:$BL106,$J106,FALSE),"")="","",IFERROR(HLOOKUP(G$2,$M$2:$BL106,$J106,FALSE),""))</f>
        <v/>
      </c>
      <c r="J106" s="13">
        <f t="shared" si="8"/>
        <v>105</v>
      </c>
      <c r="L106" s="12" t="s">
        <v>205</v>
      </c>
      <c r="M106" s="12" t="s">
        <v>591</v>
      </c>
      <c r="N106" s="12" t="s">
        <v>683</v>
      </c>
      <c r="O106" s="12" t="s">
        <v>275</v>
      </c>
      <c r="P106" s="12" t="s">
        <v>275</v>
      </c>
      <c r="Q106" s="12" t="s">
        <v>591</v>
      </c>
      <c r="R106" s="12" t="s">
        <v>275</v>
      </c>
      <c r="S106" s="12" t="s">
        <v>489</v>
      </c>
      <c r="T106" s="12" t="s">
        <v>684</v>
      </c>
      <c r="V106" s="12" t="s">
        <v>684</v>
      </c>
      <c r="W106" s="12" t="s">
        <v>685</v>
      </c>
      <c r="X106" s="12" t="s">
        <v>686</v>
      </c>
      <c r="Y106" s="12" t="s">
        <v>264</v>
      </c>
      <c r="Z106" s="12" t="s">
        <v>687</v>
      </c>
    </row>
    <row r="107" spans="1:26" s="15" customFormat="1" ht="15" customHeight="1">
      <c r="A107" s="18" t="str">
        <f>+K107</f>
        <v>Factor 2</v>
      </c>
      <c r="B107" s="18" t="str">
        <f>IF(IFERROR(HLOOKUP(B$2,$M$2:$BL107,$J107,FALSE),"")="","",IFERROR(HLOOKUP(B$2,$M$2:$BL107,$J107,FALSE),""))</f>
        <v/>
      </c>
      <c r="C107" s="18" t="str">
        <f>IF(IFERROR(HLOOKUP(C$2,$M$2:$BL107,$J107,FALSE),"")="","",IFERROR(HLOOKUP(C$2,$M$2:$BL107,$J107,FALSE),""))</f>
        <v/>
      </c>
      <c r="D107" s="18" t="str">
        <f>IF(IFERROR(HLOOKUP(D$2,$M$2:$BL107,$J107,FALSE),"")="","",IFERROR(HLOOKUP(D$2,$M$2:$BL107,$J107,FALSE),""))</f>
        <v/>
      </c>
      <c r="E107" s="18" t="str">
        <f>IF(IFERROR(HLOOKUP(E$2,$M$2:$BL107,$J107,FALSE),"")="","",IFERROR(HLOOKUP(E$2,$M$2:$BL107,$J107,FALSE),""))</f>
        <v/>
      </c>
      <c r="F107" s="18" t="str">
        <f>IF(IFERROR(HLOOKUP(F$2,$M$2:$BL107,$J107,FALSE),"")="","",IFERROR(HLOOKUP(F$2,$M$2:$BL107,$J107,FALSE),""))</f>
        <v/>
      </c>
      <c r="G107" s="18" t="str">
        <f>IF(IFERROR(HLOOKUP(G$2,$M$2:$BL107,$J107,FALSE),"")="","",IFERROR(HLOOKUP(G$2,$M$2:$BL107,$J107,FALSE),""))</f>
        <v/>
      </c>
      <c r="H107" s="18"/>
      <c r="J107" s="16">
        <f t="shared" si="8"/>
        <v>106</v>
      </c>
      <c r="K107" s="15" t="s">
        <v>214</v>
      </c>
      <c r="M107" s="15" t="s">
        <v>638</v>
      </c>
      <c r="O107" s="15" t="s">
        <v>688</v>
      </c>
      <c r="P107" s="15" t="s">
        <v>638</v>
      </c>
      <c r="Q107" s="15" t="s">
        <v>638</v>
      </c>
      <c r="R107" s="15" t="s">
        <v>689</v>
      </c>
      <c r="S107" s="15" t="s">
        <v>635</v>
      </c>
      <c r="T107" s="15" t="s">
        <v>690</v>
      </c>
      <c r="V107" s="15" t="s">
        <v>691</v>
      </c>
      <c r="W107" s="15" t="s">
        <v>692</v>
      </c>
      <c r="Z107" s="15" t="s">
        <v>693</v>
      </c>
    </row>
    <row r="108" spans="1:26" ht="15" customHeight="1">
      <c r="A108" s="12" t="str">
        <f t="shared" ref="A108:A113" si="13">+L108</f>
        <v>AA and above</v>
      </c>
      <c r="B108" s="12" t="str">
        <f>IF(IFERROR(HLOOKUP(B$2,$M$2:$BL108,$J108,FALSE),"")="","",IFERROR(HLOOKUP(B$2,$M$2:$BL108,$J108,FALSE),""))</f>
        <v/>
      </c>
      <c r="C108" s="12" t="str">
        <f>IF(IFERROR(HLOOKUP(C$2,$M$2:$BL108,$J108,FALSE),"")="","",IFERROR(HLOOKUP(C$2,$M$2:$BL108,$J108,FALSE),""))</f>
        <v/>
      </c>
      <c r="D108" s="12" t="str">
        <f>IF(IFERROR(HLOOKUP(D$2,$M$2:$BL108,$J108,FALSE),"")="","",IFERROR(HLOOKUP(D$2,$M$2:$BL108,$J108,FALSE),""))</f>
        <v/>
      </c>
      <c r="E108" s="12" t="str">
        <f>IF(IFERROR(HLOOKUP(E$2,$M$2:$BL108,$J108,FALSE),"")="","",IFERROR(HLOOKUP(E$2,$M$2:$BL108,$J108,FALSE),""))</f>
        <v/>
      </c>
      <c r="F108" s="12" t="str">
        <f>IF(IFERROR(HLOOKUP(F$2,$M$2:$BL108,$J108,FALSE),"")="","",IFERROR(HLOOKUP(F$2,$M$2:$BL108,$J108,FALSE),""))</f>
        <v/>
      </c>
      <c r="G108" s="12" t="str">
        <f>IF(IFERROR(HLOOKUP(G$2,$M$2:$BL108,$J108,FALSE),"")="","",IFERROR(HLOOKUP(G$2,$M$2:$BL108,$J108,FALSE),""))</f>
        <v/>
      </c>
      <c r="J108" s="13">
        <f t="shared" si="8"/>
        <v>107</v>
      </c>
      <c r="L108" s="12" t="s">
        <v>78</v>
      </c>
      <c r="M108" s="12" t="s">
        <v>457</v>
      </c>
      <c r="O108" s="12" t="s">
        <v>450</v>
      </c>
      <c r="P108" s="12" t="s">
        <v>694</v>
      </c>
      <c r="Q108" s="12" t="s">
        <v>457</v>
      </c>
      <c r="R108" s="12" t="s">
        <v>644</v>
      </c>
      <c r="S108" s="17" t="s">
        <v>556</v>
      </c>
      <c r="T108" s="12" t="s">
        <v>695</v>
      </c>
      <c r="V108" s="12" t="s">
        <v>148</v>
      </c>
      <c r="W108" s="12" t="s">
        <v>696</v>
      </c>
      <c r="Z108" s="12" t="s">
        <v>697</v>
      </c>
    </row>
    <row r="109" spans="1:26" ht="15" customHeight="1">
      <c r="A109" s="12" t="str">
        <f t="shared" si="13"/>
        <v>A</v>
      </c>
      <c r="B109" s="12" t="str">
        <f>IF(IFERROR(HLOOKUP(B$2,$M$2:$BL109,$J109,FALSE),"")="","",IFERROR(HLOOKUP(B$2,$M$2:$BL109,$J109,FALSE),""))</f>
        <v/>
      </c>
      <c r="C109" s="12" t="str">
        <f>IF(IFERROR(HLOOKUP(C$2,$M$2:$BL109,$J109,FALSE),"")="","",IFERROR(HLOOKUP(C$2,$M$2:$BL109,$J109,FALSE),""))</f>
        <v/>
      </c>
      <c r="D109" s="12" t="str">
        <f>IF(IFERROR(HLOOKUP(D$2,$M$2:$BL109,$J109,FALSE),"")="","",IFERROR(HLOOKUP(D$2,$M$2:$BL109,$J109,FALSE),""))</f>
        <v/>
      </c>
      <c r="E109" s="12" t="str">
        <f>IF(IFERROR(HLOOKUP(E$2,$M$2:$BL109,$J109,FALSE),"")="","",IFERROR(HLOOKUP(E$2,$M$2:$BL109,$J109,FALSE),""))</f>
        <v/>
      </c>
      <c r="F109" s="12" t="str">
        <f>IF(IFERROR(HLOOKUP(F$2,$M$2:$BL109,$J109,FALSE),"")="","",IFERROR(HLOOKUP(F$2,$M$2:$BL109,$J109,FALSE),""))</f>
        <v/>
      </c>
      <c r="G109" s="12" t="str">
        <f>IF(IFERROR(HLOOKUP(G$2,$M$2:$BL109,$J109,FALSE),"")="","",IFERROR(HLOOKUP(G$2,$M$2:$BL109,$J109,FALSE),""))</f>
        <v/>
      </c>
      <c r="J109" s="13">
        <f t="shared" si="8"/>
        <v>108</v>
      </c>
      <c r="L109" s="12" t="s">
        <v>8</v>
      </c>
      <c r="M109" s="12" t="s">
        <v>457</v>
      </c>
      <c r="O109" s="12" t="s">
        <v>300</v>
      </c>
      <c r="P109" s="12" t="s">
        <v>694</v>
      </c>
      <c r="Q109" s="12" t="s">
        <v>457</v>
      </c>
      <c r="R109" s="12" t="s">
        <v>698</v>
      </c>
      <c r="S109" s="17" t="s">
        <v>699</v>
      </c>
      <c r="T109" s="12" t="s">
        <v>700</v>
      </c>
      <c r="V109" s="12" t="s">
        <v>701</v>
      </c>
      <c r="W109" s="12" t="s">
        <v>521</v>
      </c>
      <c r="Z109" s="12" t="s">
        <v>702</v>
      </c>
    </row>
    <row r="110" spans="1:26" ht="15" customHeight="1">
      <c r="A110" s="12" t="str">
        <f t="shared" si="13"/>
        <v>BBB</v>
      </c>
      <c r="B110" s="12" t="str">
        <f>IF(IFERROR(HLOOKUP(B$2,$M$2:$BL110,$J110,FALSE),"")="","",IFERROR(HLOOKUP(B$2,$M$2:$BL110,$J110,FALSE),""))</f>
        <v/>
      </c>
      <c r="C110" s="12" t="str">
        <f>IF(IFERROR(HLOOKUP(C$2,$M$2:$BL110,$J110,FALSE),"")="","",IFERROR(HLOOKUP(C$2,$M$2:$BL110,$J110,FALSE),""))</f>
        <v/>
      </c>
      <c r="D110" s="12" t="str">
        <f>IF(IFERROR(HLOOKUP(D$2,$M$2:$BL110,$J110,FALSE),"")="","",IFERROR(HLOOKUP(D$2,$M$2:$BL110,$J110,FALSE),""))</f>
        <v/>
      </c>
      <c r="E110" s="12" t="str">
        <f>IF(IFERROR(HLOOKUP(E$2,$M$2:$BL110,$J110,FALSE),"")="","",IFERROR(HLOOKUP(E$2,$M$2:$BL110,$J110,FALSE),""))</f>
        <v/>
      </c>
      <c r="F110" s="12" t="str">
        <f>IF(IFERROR(HLOOKUP(F$2,$M$2:$BL110,$J110,FALSE),"")="","",IFERROR(HLOOKUP(F$2,$M$2:$BL110,$J110,FALSE),""))</f>
        <v/>
      </c>
      <c r="G110" s="12" t="str">
        <f>IF(IFERROR(HLOOKUP(G$2,$M$2:$BL110,$J110,FALSE),"")="","",IFERROR(HLOOKUP(G$2,$M$2:$BL110,$J110,FALSE),""))</f>
        <v/>
      </c>
      <c r="J110" s="13">
        <f t="shared" si="8"/>
        <v>109</v>
      </c>
      <c r="L110" s="12" t="s">
        <v>118</v>
      </c>
      <c r="M110" s="12" t="s">
        <v>664</v>
      </c>
      <c r="O110" s="12" t="s">
        <v>306</v>
      </c>
      <c r="P110" s="12" t="s">
        <v>694</v>
      </c>
      <c r="Q110" s="12" t="s">
        <v>664</v>
      </c>
      <c r="R110" s="12" t="s">
        <v>703</v>
      </c>
      <c r="S110" s="17" t="s">
        <v>704</v>
      </c>
      <c r="T110" s="12" t="s">
        <v>705</v>
      </c>
      <c r="V110" s="12" t="s">
        <v>701</v>
      </c>
      <c r="W110" s="12" t="s">
        <v>706</v>
      </c>
      <c r="Z110" s="12" t="s">
        <v>707</v>
      </c>
    </row>
    <row r="111" spans="1:26" ht="15" customHeight="1">
      <c r="A111" s="12" t="str">
        <f t="shared" si="13"/>
        <v>BB</v>
      </c>
      <c r="B111" s="12" t="str">
        <f>IF(IFERROR(HLOOKUP(B$2,$M$2:$BL111,$J111,FALSE),"")="","",IFERROR(HLOOKUP(B$2,$M$2:$BL111,$J111,FALSE),""))</f>
        <v/>
      </c>
      <c r="C111" s="12" t="str">
        <f>IF(IFERROR(HLOOKUP(C$2,$M$2:$BL111,$J111,FALSE),"")="","",IFERROR(HLOOKUP(C$2,$M$2:$BL111,$J111,FALSE),""))</f>
        <v/>
      </c>
      <c r="D111" s="12" t="str">
        <f>IF(IFERROR(HLOOKUP(D$2,$M$2:$BL111,$J111,FALSE),"")="","",IFERROR(HLOOKUP(D$2,$M$2:$BL111,$J111,FALSE),""))</f>
        <v/>
      </c>
      <c r="E111" s="12" t="str">
        <f>IF(IFERROR(HLOOKUP(E$2,$M$2:$BL111,$J111,FALSE),"")="","",IFERROR(HLOOKUP(E$2,$M$2:$BL111,$J111,FALSE),""))</f>
        <v/>
      </c>
      <c r="F111" s="12" t="str">
        <f>IF(IFERROR(HLOOKUP(F$2,$M$2:$BL111,$J111,FALSE),"")="","",IFERROR(HLOOKUP(F$2,$M$2:$BL111,$J111,FALSE),""))</f>
        <v/>
      </c>
      <c r="G111" s="12" t="str">
        <f>IF(IFERROR(HLOOKUP(G$2,$M$2:$BL111,$J111,FALSE),"")="","",IFERROR(HLOOKUP(G$2,$M$2:$BL111,$J111,FALSE),""))</f>
        <v/>
      </c>
      <c r="J111" s="13">
        <f t="shared" si="8"/>
        <v>110</v>
      </c>
      <c r="L111" s="12" t="s">
        <v>139</v>
      </c>
      <c r="M111" s="12" t="s">
        <v>664</v>
      </c>
      <c r="O111" s="12" t="s">
        <v>478</v>
      </c>
      <c r="P111" s="12" t="s">
        <v>708</v>
      </c>
      <c r="Q111" s="12" t="s">
        <v>664</v>
      </c>
      <c r="R111" s="12" t="s">
        <v>523</v>
      </c>
      <c r="S111" s="17" t="s">
        <v>709</v>
      </c>
      <c r="T111" s="12" t="s">
        <v>710</v>
      </c>
      <c r="V111" s="12" t="s">
        <v>711</v>
      </c>
      <c r="W111" s="12" t="s">
        <v>712</v>
      </c>
      <c r="Z111" s="12" t="s">
        <v>713</v>
      </c>
    </row>
    <row r="112" spans="1:26" ht="15" customHeight="1">
      <c r="A112" s="12" t="str">
        <f t="shared" si="13"/>
        <v>B</v>
      </c>
      <c r="B112" s="12" t="str">
        <f>IF(IFERROR(HLOOKUP(B$2,$M$2:$BL112,$J112,FALSE),"")="","",IFERROR(HLOOKUP(B$2,$M$2:$BL112,$J112,FALSE),""))</f>
        <v/>
      </c>
      <c r="C112" s="12" t="str">
        <f>IF(IFERROR(HLOOKUP(C$2,$M$2:$BL112,$J112,FALSE),"")="","",IFERROR(HLOOKUP(C$2,$M$2:$BL112,$J112,FALSE),""))</f>
        <v/>
      </c>
      <c r="D112" s="12" t="str">
        <f>IF(IFERROR(HLOOKUP(D$2,$M$2:$BL112,$J112,FALSE),"")="","",IFERROR(HLOOKUP(D$2,$M$2:$BL112,$J112,FALSE),""))</f>
        <v/>
      </c>
      <c r="E112" s="12" t="str">
        <f>IF(IFERROR(HLOOKUP(E$2,$M$2:$BL112,$J112,FALSE),"")="","",IFERROR(HLOOKUP(E$2,$M$2:$BL112,$J112,FALSE),""))</f>
        <v/>
      </c>
      <c r="F112" s="12" t="str">
        <f>IF(IFERROR(HLOOKUP(F$2,$M$2:$BL112,$J112,FALSE),"")="","",IFERROR(HLOOKUP(F$2,$M$2:$BL112,$J112,FALSE),""))</f>
        <v/>
      </c>
      <c r="G112" s="12" t="str">
        <f>IF(IFERROR(HLOOKUP(G$2,$M$2:$BL112,$J112,FALSE),"")="","",IFERROR(HLOOKUP(G$2,$M$2:$BL112,$J112,FALSE),""))</f>
        <v/>
      </c>
      <c r="J112" s="13">
        <f t="shared" si="8"/>
        <v>111</v>
      </c>
      <c r="L112" s="12" t="s">
        <v>179</v>
      </c>
      <c r="M112" s="12" t="s">
        <v>489</v>
      </c>
      <c r="O112" s="12" t="s">
        <v>714</v>
      </c>
      <c r="P112" s="12" t="s">
        <v>708</v>
      </c>
      <c r="Q112" s="12" t="s">
        <v>489</v>
      </c>
      <c r="R112" s="12" t="s">
        <v>715</v>
      </c>
      <c r="S112" s="17" t="s">
        <v>716</v>
      </c>
      <c r="T112" s="12" t="s">
        <v>717</v>
      </c>
      <c r="V112" s="12" t="s">
        <v>711</v>
      </c>
      <c r="W112" s="12" t="s">
        <v>718</v>
      </c>
      <c r="Z112" s="12" t="s">
        <v>719</v>
      </c>
    </row>
    <row r="113" spans="1:26" ht="15" customHeight="1">
      <c r="A113" s="12" t="str">
        <f t="shared" si="13"/>
        <v>CCC and below</v>
      </c>
      <c r="B113" s="12" t="str">
        <f>IF(IFERROR(HLOOKUP(B$2,$M$2:$BL113,$J113,FALSE),"")="","",IFERROR(HLOOKUP(B$2,$M$2:$BL113,$J113,FALSE),""))</f>
        <v/>
      </c>
      <c r="C113" s="12" t="str">
        <f>IF(IFERROR(HLOOKUP(C$2,$M$2:$BL113,$J113,FALSE),"")="","",IFERROR(HLOOKUP(C$2,$M$2:$BL113,$J113,FALSE),""))</f>
        <v/>
      </c>
      <c r="D113" s="12" t="str">
        <f>IF(IFERROR(HLOOKUP(D$2,$M$2:$BL113,$J113,FALSE),"")="","",IFERROR(HLOOKUP(D$2,$M$2:$BL113,$J113,FALSE),""))</f>
        <v/>
      </c>
      <c r="E113" s="12" t="str">
        <f>IF(IFERROR(HLOOKUP(E$2,$M$2:$BL113,$J113,FALSE),"")="","",IFERROR(HLOOKUP(E$2,$M$2:$BL113,$J113,FALSE),""))</f>
        <v/>
      </c>
      <c r="F113" s="12" t="str">
        <f>IF(IFERROR(HLOOKUP(F$2,$M$2:$BL113,$J113,FALSE),"")="","",IFERROR(HLOOKUP(F$2,$M$2:$BL113,$J113,FALSE),""))</f>
        <v/>
      </c>
      <c r="G113" s="12" t="str">
        <f>IF(IFERROR(HLOOKUP(G$2,$M$2:$BL113,$J113,FALSE),"")="","",IFERROR(HLOOKUP(G$2,$M$2:$BL113,$J113,FALSE),""))</f>
        <v/>
      </c>
      <c r="J113" s="13">
        <f t="shared" si="8"/>
        <v>112</v>
      </c>
      <c r="L113" s="12" t="s">
        <v>205</v>
      </c>
      <c r="M113" s="12" t="s">
        <v>489</v>
      </c>
      <c r="O113" s="12" t="s">
        <v>687</v>
      </c>
      <c r="P113" s="12" t="s">
        <v>708</v>
      </c>
      <c r="Q113" s="12" t="s">
        <v>489</v>
      </c>
      <c r="R113" s="12" t="s">
        <v>720</v>
      </c>
      <c r="S113" s="17" t="s">
        <v>721</v>
      </c>
      <c r="T113" s="12" t="s">
        <v>684</v>
      </c>
      <c r="V113" s="12" t="s">
        <v>722</v>
      </c>
      <c r="W113" s="12" t="s">
        <v>685</v>
      </c>
      <c r="Z113" s="12" t="s">
        <v>271</v>
      </c>
    </row>
    <row r="114" spans="1:26" s="15" customFormat="1" ht="15" customHeight="1">
      <c r="A114" s="18" t="str">
        <f>+K114</f>
        <v>Factor 3</v>
      </c>
      <c r="B114" s="18" t="str">
        <f>IF(IFERROR(HLOOKUP(B$2,$M$2:$BL114,$J114,FALSE),"")="","",IFERROR(HLOOKUP(B$2,$M$2:$BL114,$J114,FALSE),""))</f>
        <v/>
      </c>
      <c r="C114" s="18" t="str">
        <f>IF(IFERROR(HLOOKUP(C$2,$M$2:$BL114,$J114,FALSE),"")="","",IFERROR(HLOOKUP(C$2,$M$2:$BL114,$J114,FALSE),""))</f>
        <v/>
      </c>
      <c r="D114" s="18" t="str">
        <f>IF(IFERROR(HLOOKUP(D$2,$M$2:$BL114,$J114,FALSE),"")="","",IFERROR(HLOOKUP(D$2,$M$2:$BL114,$J114,FALSE),""))</f>
        <v/>
      </c>
      <c r="E114" s="18" t="str">
        <f>IF(IFERROR(HLOOKUP(E$2,$M$2:$BL114,$J114,FALSE),"")="","",IFERROR(HLOOKUP(E$2,$M$2:$BL114,$J114,FALSE),""))</f>
        <v/>
      </c>
      <c r="F114" s="18" t="str">
        <f>IF(IFERROR(HLOOKUP(F$2,$M$2:$BL114,$J114,FALSE),"")="","",IFERROR(HLOOKUP(F$2,$M$2:$BL114,$J114,FALSE),""))</f>
        <v/>
      </c>
      <c r="G114" s="18" t="str">
        <f>IF(IFERROR(HLOOKUP(G$2,$M$2:$BL114,$J114,FALSE),"")="","",IFERROR(HLOOKUP(G$2,$M$2:$BL114,$J114,FALSE),""))</f>
        <v/>
      </c>
      <c r="H114" s="18"/>
      <c r="J114" s="16">
        <f t="shared" si="8"/>
        <v>113</v>
      </c>
      <c r="K114" s="15" t="s">
        <v>279</v>
      </c>
      <c r="O114" s="15" t="s">
        <v>638</v>
      </c>
      <c r="R114" s="15" t="s">
        <v>638</v>
      </c>
      <c r="S114" s="15" t="s">
        <v>723</v>
      </c>
      <c r="T114" s="15" t="s">
        <v>724</v>
      </c>
      <c r="V114" s="15" t="s">
        <v>725</v>
      </c>
      <c r="W114" s="15" t="s">
        <v>726</v>
      </c>
    </row>
    <row r="115" spans="1:26" ht="15" customHeight="1">
      <c r="A115" s="12" t="str">
        <f t="shared" ref="A115:A120" si="14">+L115</f>
        <v>AA and above</v>
      </c>
      <c r="B115" s="12" t="str">
        <f>IF(IFERROR(HLOOKUP(B$2,$M$2:$BL115,$J115,FALSE),"")="","",IFERROR(HLOOKUP(B$2,$M$2:$BL115,$J115,FALSE),""))</f>
        <v/>
      </c>
      <c r="C115" s="12" t="str">
        <f>IF(IFERROR(HLOOKUP(C$2,$M$2:$BL115,$J115,FALSE),"")="","",IFERROR(HLOOKUP(C$2,$M$2:$BL115,$J115,FALSE),""))</f>
        <v/>
      </c>
      <c r="D115" s="12" t="str">
        <f>IF(IFERROR(HLOOKUP(D$2,$M$2:$BL115,$J115,FALSE),"")="","",IFERROR(HLOOKUP(D$2,$M$2:$BL115,$J115,FALSE),""))</f>
        <v/>
      </c>
      <c r="E115" s="12" t="str">
        <f>IF(IFERROR(HLOOKUP(E$2,$M$2:$BL115,$J115,FALSE),"")="","",IFERROR(HLOOKUP(E$2,$M$2:$BL115,$J115,FALSE),""))</f>
        <v/>
      </c>
      <c r="F115" s="12" t="str">
        <f>IF(IFERROR(HLOOKUP(F$2,$M$2:$BL115,$J115,FALSE),"")="","",IFERROR(HLOOKUP(F$2,$M$2:$BL115,$J115,FALSE),""))</f>
        <v/>
      </c>
      <c r="G115" s="12" t="str">
        <f>IF(IFERROR(HLOOKUP(G$2,$M$2:$BL115,$J115,FALSE),"")="","",IFERROR(HLOOKUP(G$2,$M$2:$BL115,$J115,FALSE),""))</f>
        <v/>
      </c>
      <c r="J115" s="13">
        <f t="shared" si="8"/>
        <v>114</v>
      </c>
      <c r="L115" s="12" t="s">
        <v>78</v>
      </c>
      <c r="O115" s="12" t="s">
        <v>694</v>
      </c>
      <c r="R115" s="12" t="s">
        <v>457</v>
      </c>
      <c r="S115" s="17" t="s">
        <v>603</v>
      </c>
      <c r="T115" s="12" t="s">
        <v>727</v>
      </c>
      <c r="V115" s="12" t="s">
        <v>148</v>
      </c>
      <c r="W115" s="12" t="s">
        <v>696</v>
      </c>
    </row>
    <row r="116" spans="1:26" ht="15" customHeight="1">
      <c r="A116" s="12" t="str">
        <f t="shared" si="14"/>
        <v>A</v>
      </c>
      <c r="B116" s="12" t="str">
        <f>IF(IFERROR(HLOOKUP(B$2,$M$2:$BL116,$J116,FALSE),"")="","",IFERROR(HLOOKUP(B$2,$M$2:$BL116,$J116,FALSE),""))</f>
        <v/>
      </c>
      <c r="C116" s="12" t="str">
        <f>IF(IFERROR(HLOOKUP(C$2,$M$2:$BL116,$J116,FALSE),"")="","",IFERROR(HLOOKUP(C$2,$M$2:$BL116,$J116,FALSE),""))</f>
        <v/>
      </c>
      <c r="D116" s="12" t="str">
        <f>IF(IFERROR(HLOOKUP(D$2,$M$2:$BL116,$J116,FALSE),"")="","",IFERROR(HLOOKUP(D$2,$M$2:$BL116,$J116,FALSE),""))</f>
        <v/>
      </c>
      <c r="E116" s="12" t="str">
        <f>IF(IFERROR(HLOOKUP(E$2,$M$2:$BL116,$J116,FALSE),"")="","",IFERROR(HLOOKUP(E$2,$M$2:$BL116,$J116,FALSE),""))</f>
        <v/>
      </c>
      <c r="F116" s="12" t="str">
        <f>IF(IFERROR(HLOOKUP(F$2,$M$2:$BL116,$J116,FALSE),"")="","",IFERROR(HLOOKUP(F$2,$M$2:$BL116,$J116,FALSE),""))</f>
        <v/>
      </c>
      <c r="G116" s="12" t="str">
        <f>IF(IFERROR(HLOOKUP(G$2,$M$2:$BL116,$J116,FALSE),"")="","",IFERROR(HLOOKUP(G$2,$M$2:$BL116,$J116,FALSE),""))</f>
        <v/>
      </c>
      <c r="J116" s="13">
        <f t="shared" si="8"/>
        <v>115</v>
      </c>
      <c r="L116" s="12" t="s">
        <v>8</v>
      </c>
      <c r="O116" s="12" t="s">
        <v>694</v>
      </c>
      <c r="R116" s="12" t="s">
        <v>457</v>
      </c>
      <c r="S116" s="17" t="s">
        <v>728</v>
      </c>
      <c r="T116" s="12" t="s">
        <v>727</v>
      </c>
      <c r="V116" s="12" t="s">
        <v>729</v>
      </c>
      <c r="W116" s="12" t="s">
        <v>521</v>
      </c>
    </row>
    <row r="117" spans="1:26" ht="15" customHeight="1">
      <c r="A117" s="12" t="str">
        <f t="shared" si="14"/>
        <v>BBB</v>
      </c>
      <c r="B117" s="12" t="str">
        <f>IF(IFERROR(HLOOKUP(B$2,$M$2:$BL117,$J117,FALSE),"")="","",IFERROR(HLOOKUP(B$2,$M$2:$BL117,$J117,FALSE),""))</f>
        <v/>
      </c>
      <c r="C117" s="12" t="str">
        <f>IF(IFERROR(HLOOKUP(C$2,$M$2:$BL117,$J117,FALSE),"")="","",IFERROR(HLOOKUP(C$2,$M$2:$BL117,$J117,FALSE),""))</f>
        <v/>
      </c>
      <c r="D117" s="12" t="str">
        <f>IF(IFERROR(HLOOKUP(D$2,$M$2:$BL117,$J117,FALSE),"")="","",IFERROR(HLOOKUP(D$2,$M$2:$BL117,$J117,FALSE),""))</f>
        <v/>
      </c>
      <c r="E117" s="12" t="str">
        <f>IF(IFERROR(HLOOKUP(E$2,$M$2:$BL117,$J117,FALSE),"")="","",IFERROR(HLOOKUP(E$2,$M$2:$BL117,$J117,FALSE),""))</f>
        <v/>
      </c>
      <c r="F117" s="12" t="str">
        <f>IF(IFERROR(HLOOKUP(F$2,$M$2:$BL117,$J117,FALSE),"")="","",IFERROR(HLOOKUP(F$2,$M$2:$BL117,$J117,FALSE),""))</f>
        <v/>
      </c>
      <c r="G117" s="12" t="str">
        <f>IF(IFERROR(HLOOKUP(G$2,$M$2:$BL117,$J117,FALSE),"")="","",IFERROR(HLOOKUP(G$2,$M$2:$BL117,$J117,FALSE),""))</f>
        <v/>
      </c>
      <c r="J117" s="13">
        <f t="shared" si="8"/>
        <v>116</v>
      </c>
      <c r="L117" s="12" t="s">
        <v>118</v>
      </c>
      <c r="O117" s="12" t="s">
        <v>664</v>
      </c>
      <c r="R117" s="12" t="s">
        <v>664</v>
      </c>
      <c r="S117" s="17" t="s">
        <v>730</v>
      </c>
      <c r="T117" s="12" t="s">
        <v>731</v>
      </c>
      <c r="V117" s="12" t="s">
        <v>732</v>
      </c>
      <c r="W117" s="12" t="s">
        <v>733</v>
      </c>
    </row>
    <row r="118" spans="1:26" ht="15" customHeight="1">
      <c r="A118" s="12" t="str">
        <f t="shared" si="14"/>
        <v>BB</v>
      </c>
      <c r="B118" s="12" t="str">
        <f>IF(IFERROR(HLOOKUP(B$2,$M$2:$BL118,$J118,FALSE),"")="","",IFERROR(HLOOKUP(B$2,$M$2:$BL118,$J118,FALSE),""))</f>
        <v/>
      </c>
      <c r="C118" s="12" t="str">
        <f>IF(IFERROR(HLOOKUP(C$2,$M$2:$BL118,$J118,FALSE),"")="","",IFERROR(HLOOKUP(C$2,$M$2:$BL118,$J118,FALSE),""))</f>
        <v/>
      </c>
      <c r="D118" s="12" t="str">
        <f>IF(IFERROR(HLOOKUP(D$2,$M$2:$BL118,$J118,FALSE),"")="","",IFERROR(HLOOKUP(D$2,$M$2:$BL118,$J118,FALSE),""))</f>
        <v/>
      </c>
      <c r="E118" s="12" t="str">
        <f>IF(IFERROR(HLOOKUP(E$2,$M$2:$BL118,$J118,FALSE),"")="","",IFERROR(HLOOKUP(E$2,$M$2:$BL118,$J118,FALSE),""))</f>
        <v/>
      </c>
      <c r="F118" s="12" t="str">
        <f>IF(IFERROR(HLOOKUP(F$2,$M$2:$BL118,$J118,FALSE),"")="","",IFERROR(HLOOKUP(F$2,$M$2:$BL118,$J118,FALSE),""))</f>
        <v/>
      </c>
      <c r="G118" s="12" t="str">
        <f>IF(IFERROR(HLOOKUP(G$2,$M$2:$BL118,$J118,FALSE),"")="","",IFERROR(HLOOKUP(G$2,$M$2:$BL118,$J118,FALSE),""))</f>
        <v/>
      </c>
      <c r="J118" s="13">
        <f t="shared" si="8"/>
        <v>117</v>
      </c>
      <c r="L118" s="12" t="s">
        <v>139</v>
      </c>
      <c r="O118" s="12" t="s">
        <v>664</v>
      </c>
      <c r="R118" s="12" t="s">
        <v>664</v>
      </c>
      <c r="S118" s="17" t="s">
        <v>734</v>
      </c>
      <c r="T118" s="12" t="s">
        <v>735</v>
      </c>
      <c r="V118" s="12" t="s">
        <v>736</v>
      </c>
      <c r="W118" s="12" t="s">
        <v>736</v>
      </c>
    </row>
    <row r="119" spans="1:26" ht="15" customHeight="1">
      <c r="A119" s="12" t="str">
        <f t="shared" si="14"/>
        <v>B</v>
      </c>
      <c r="B119" s="12" t="str">
        <f>IF(IFERROR(HLOOKUP(B$2,$M$2:$BL119,$J119,FALSE),"")="","",IFERROR(HLOOKUP(B$2,$M$2:$BL119,$J119,FALSE),""))</f>
        <v/>
      </c>
      <c r="C119" s="12" t="str">
        <f>IF(IFERROR(HLOOKUP(C$2,$M$2:$BL119,$J119,FALSE),"")="","",IFERROR(HLOOKUP(C$2,$M$2:$BL119,$J119,FALSE),""))</f>
        <v/>
      </c>
      <c r="D119" s="12" t="str">
        <f>IF(IFERROR(HLOOKUP(D$2,$M$2:$BL119,$J119,FALSE),"")="","",IFERROR(HLOOKUP(D$2,$M$2:$BL119,$J119,FALSE),""))</f>
        <v/>
      </c>
      <c r="E119" s="12" t="str">
        <f>IF(IFERROR(HLOOKUP(E$2,$M$2:$BL119,$J119,FALSE),"")="","",IFERROR(HLOOKUP(E$2,$M$2:$BL119,$J119,FALSE),""))</f>
        <v/>
      </c>
      <c r="F119" s="12" t="str">
        <f>IF(IFERROR(HLOOKUP(F$2,$M$2:$BL119,$J119,FALSE),"")="","",IFERROR(HLOOKUP(F$2,$M$2:$BL119,$J119,FALSE),""))</f>
        <v/>
      </c>
      <c r="G119" s="12" t="str">
        <f>IF(IFERROR(HLOOKUP(G$2,$M$2:$BL119,$J119,FALSE),"")="","",IFERROR(HLOOKUP(G$2,$M$2:$BL119,$J119,FALSE),""))</f>
        <v/>
      </c>
      <c r="J119" s="13">
        <f t="shared" si="8"/>
        <v>118</v>
      </c>
      <c r="L119" s="12" t="s">
        <v>179</v>
      </c>
      <c r="O119" s="12" t="s">
        <v>489</v>
      </c>
      <c r="R119" s="12" t="s">
        <v>489</v>
      </c>
      <c r="S119" s="17" t="s">
        <v>737</v>
      </c>
      <c r="T119" s="12" t="s">
        <v>738</v>
      </c>
      <c r="V119" s="12" t="s">
        <v>739</v>
      </c>
      <c r="W119" s="12" t="s">
        <v>739</v>
      </c>
    </row>
    <row r="120" spans="1:26" ht="15" customHeight="1">
      <c r="A120" s="12" t="str">
        <f t="shared" si="14"/>
        <v>CCC and below</v>
      </c>
      <c r="B120" s="12" t="str">
        <f>IF(IFERROR(HLOOKUP(B$2,$M$2:$BL120,$J120,FALSE),"")="","",IFERROR(HLOOKUP(B$2,$M$2:$BL120,$J120,FALSE),""))</f>
        <v/>
      </c>
      <c r="C120" s="12" t="str">
        <f>IF(IFERROR(HLOOKUP(C$2,$M$2:$BL120,$J120,FALSE),"")="","",IFERROR(HLOOKUP(C$2,$M$2:$BL120,$J120,FALSE),""))</f>
        <v/>
      </c>
      <c r="D120" s="12" t="str">
        <f>IF(IFERROR(HLOOKUP(D$2,$M$2:$BL120,$J120,FALSE),"")="","",IFERROR(HLOOKUP(D$2,$M$2:$BL120,$J120,FALSE),""))</f>
        <v/>
      </c>
      <c r="E120" s="12" t="str">
        <f>IF(IFERROR(HLOOKUP(E$2,$M$2:$BL120,$J120,FALSE),"")="","",IFERROR(HLOOKUP(E$2,$M$2:$BL120,$J120,FALSE),""))</f>
        <v/>
      </c>
      <c r="F120" s="12" t="str">
        <f>IF(IFERROR(HLOOKUP(F$2,$M$2:$BL120,$J120,FALSE),"")="","",IFERROR(HLOOKUP(F$2,$M$2:$BL120,$J120,FALSE),""))</f>
        <v/>
      </c>
      <c r="G120" s="12" t="str">
        <f>IF(IFERROR(HLOOKUP(G$2,$M$2:$BL120,$J120,FALSE),"")="","",IFERROR(HLOOKUP(G$2,$M$2:$BL120,$J120,FALSE),""))</f>
        <v/>
      </c>
      <c r="J120" s="13">
        <f t="shared" si="8"/>
        <v>119</v>
      </c>
      <c r="L120" s="12" t="s">
        <v>205</v>
      </c>
      <c r="O120" s="12" t="s">
        <v>489</v>
      </c>
      <c r="R120" s="12" t="s">
        <v>489</v>
      </c>
      <c r="S120" s="17" t="s">
        <v>720</v>
      </c>
      <c r="T120" s="12" t="s">
        <v>738</v>
      </c>
      <c r="V120" s="12" t="s">
        <v>740</v>
      </c>
      <c r="W120" s="12" t="s">
        <v>741</v>
      </c>
    </row>
    <row r="121" spans="1:26" s="15" customFormat="1" ht="15" customHeight="1">
      <c r="A121" s="18" t="str">
        <f>+K121</f>
        <v>Factor 4</v>
      </c>
      <c r="B121" s="18" t="str">
        <f>IF(IFERROR(HLOOKUP(B$2,$M$2:$BL121,$J121,FALSE),"")="","",IFERROR(HLOOKUP(B$2,$M$2:$BL121,$J121,FALSE),""))</f>
        <v/>
      </c>
      <c r="C121" s="18" t="str">
        <f>IF(IFERROR(HLOOKUP(C$2,$M$2:$BL121,$J121,FALSE),"")="","",IFERROR(HLOOKUP(C$2,$M$2:$BL121,$J121,FALSE),""))</f>
        <v/>
      </c>
      <c r="D121" s="18" t="str">
        <f>IF(IFERROR(HLOOKUP(D$2,$M$2:$BL121,$J121,FALSE),"")="","",IFERROR(HLOOKUP(D$2,$M$2:$BL121,$J121,FALSE),""))</f>
        <v/>
      </c>
      <c r="E121" s="18" t="str">
        <f>IF(IFERROR(HLOOKUP(E$2,$M$2:$BL121,$J121,FALSE),"")="","",IFERROR(HLOOKUP(E$2,$M$2:$BL121,$J121,FALSE),""))</f>
        <v/>
      </c>
      <c r="F121" s="18" t="str">
        <f>IF(IFERROR(HLOOKUP(F$2,$M$2:$BL121,$J121,FALSE),"")="","",IFERROR(HLOOKUP(F$2,$M$2:$BL121,$J121,FALSE),""))</f>
        <v/>
      </c>
      <c r="G121" s="18" t="str">
        <f>IF(IFERROR(HLOOKUP(G$2,$M$2:$BL121,$J121,FALSE),"")="","",IFERROR(HLOOKUP(G$2,$M$2:$BL121,$J121,FALSE),""))</f>
        <v/>
      </c>
      <c r="H121" s="18"/>
      <c r="J121" s="16">
        <f t="shared" si="8"/>
        <v>120</v>
      </c>
      <c r="K121" s="15" t="s">
        <v>315</v>
      </c>
      <c r="S121" s="15" t="s">
        <v>688</v>
      </c>
      <c r="T121" s="15" t="s">
        <v>726</v>
      </c>
      <c r="V121" s="15" t="s">
        <v>742</v>
      </c>
    </row>
    <row r="122" spans="1:26" ht="15" customHeight="1">
      <c r="A122" s="12" t="str">
        <f t="shared" ref="A122:A127" si="15">+L122</f>
        <v>AA and above</v>
      </c>
      <c r="B122" s="12" t="str">
        <f>IF(IFERROR(HLOOKUP(B$2,$M$2:$BL122,$J122,FALSE),"")="","",IFERROR(HLOOKUP(B$2,$M$2:$BL122,$J122,FALSE),""))</f>
        <v/>
      </c>
      <c r="C122" s="12" t="str">
        <f>IF(IFERROR(HLOOKUP(C$2,$M$2:$BL122,$J122,FALSE),"")="","",IFERROR(HLOOKUP(C$2,$M$2:$BL122,$J122,FALSE),""))</f>
        <v/>
      </c>
      <c r="D122" s="12" t="str">
        <f>IF(IFERROR(HLOOKUP(D$2,$M$2:$BL122,$J122,FALSE),"")="","",IFERROR(HLOOKUP(D$2,$M$2:$BL122,$J122,FALSE),""))</f>
        <v/>
      </c>
      <c r="E122" s="12" t="str">
        <f>IF(IFERROR(HLOOKUP(E$2,$M$2:$BL122,$J122,FALSE),"")="","",IFERROR(HLOOKUP(E$2,$M$2:$BL122,$J122,FALSE),""))</f>
        <v/>
      </c>
      <c r="F122" s="12" t="str">
        <f>IF(IFERROR(HLOOKUP(F$2,$M$2:$BL122,$J122,FALSE),"")="","",IFERROR(HLOOKUP(F$2,$M$2:$BL122,$J122,FALSE),""))</f>
        <v/>
      </c>
      <c r="G122" s="12" t="str">
        <f>IF(IFERROR(HLOOKUP(G$2,$M$2:$BL122,$J122,FALSE),"")="","",IFERROR(HLOOKUP(G$2,$M$2:$BL122,$J122,FALSE),""))</f>
        <v/>
      </c>
      <c r="J122" s="13">
        <f t="shared" si="8"/>
        <v>121</v>
      </c>
      <c r="L122" s="12" t="s">
        <v>78</v>
      </c>
      <c r="S122" s="12" t="s">
        <v>450</v>
      </c>
      <c r="T122" s="12" t="s">
        <v>233</v>
      </c>
      <c r="V122" s="12" t="s">
        <v>148</v>
      </c>
    </row>
    <row r="123" spans="1:26" ht="15" customHeight="1">
      <c r="A123" s="12" t="str">
        <f t="shared" si="15"/>
        <v>A</v>
      </c>
      <c r="B123" s="12" t="str">
        <f>IF(IFERROR(HLOOKUP(B$2,$M$2:$BL123,$J123,FALSE),"")="","",IFERROR(HLOOKUP(B$2,$M$2:$BL123,$J123,FALSE),""))</f>
        <v/>
      </c>
      <c r="C123" s="12" t="str">
        <f>IF(IFERROR(HLOOKUP(C$2,$M$2:$BL123,$J123,FALSE),"")="","",IFERROR(HLOOKUP(C$2,$M$2:$BL123,$J123,FALSE),""))</f>
        <v/>
      </c>
      <c r="D123" s="12" t="str">
        <f>IF(IFERROR(HLOOKUP(D$2,$M$2:$BL123,$J123,FALSE),"")="","",IFERROR(HLOOKUP(D$2,$M$2:$BL123,$J123,FALSE),""))</f>
        <v/>
      </c>
      <c r="E123" s="12" t="str">
        <f>IF(IFERROR(HLOOKUP(E$2,$M$2:$BL123,$J123,FALSE),"")="","",IFERROR(HLOOKUP(E$2,$M$2:$BL123,$J123,FALSE),""))</f>
        <v/>
      </c>
      <c r="F123" s="12" t="str">
        <f>IF(IFERROR(HLOOKUP(F$2,$M$2:$BL123,$J123,FALSE),"")="","",IFERROR(HLOOKUP(F$2,$M$2:$BL123,$J123,FALSE),""))</f>
        <v/>
      </c>
      <c r="G123" s="12" t="str">
        <f>IF(IFERROR(HLOOKUP(G$2,$M$2:$BL123,$J123,FALSE),"")="","",IFERROR(HLOOKUP(G$2,$M$2:$BL123,$J123,FALSE),""))</f>
        <v/>
      </c>
      <c r="J123" s="13">
        <f t="shared" si="8"/>
        <v>122</v>
      </c>
      <c r="L123" s="12" t="s">
        <v>8</v>
      </c>
      <c r="S123" s="12" t="s">
        <v>300</v>
      </c>
      <c r="T123" s="12" t="s">
        <v>660</v>
      </c>
      <c r="V123" s="23" t="s">
        <v>743</v>
      </c>
    </row>
    <row r="124" spans="1:26" ht="15" customHeight="1">
      <c r="A124" s="12" t="str">
        <f t="shared" si="15"/>
        <v>BBB</v>
      </c>
      <c r="B124" s="12" t="str">
        <f>IF(IFERROR(HLOOKUP(B$2,$M$2:$BL124,$J124,FALSE),"")="","",IFERROR(HLOOKUP(B$2,$M$2:$BL124,$J124,FALSE),""))</f>
        <v/>
      </c>
      <c r="C124" s="12" t="str">
        <f>IF(IFERROR(HLOOKUP(C$2,$M$2:$BL124,$J124,FALSE),"")="","",IFERROR(HLOOKUP(C$2,$M$2:$BL124,$J124,FALSE),""))</f>
        <v/>
      </c>
      <c r="D124" s="12" t="str">
        <f>IF(IFERROR(HLOOKUP(D$2,$M$2:$BL124,$J124,FALSE),"")="","",IFERROR(HLOOKUP(D$2,$M$2:$BL124,$J124,FALSE),""))</f>
        <v/>
      </c>
      <c r="E124" s="12" t="str">
        <f>IF(IFERROR(HLOOKUP(E$2,$M$2:$BL124,$J124,FALSE),"")="","",IFERROR(HLOOKUP(E$2,$M$2:$BL124,$J124,FALSE),""))</f>
        <v/>
      </c>
      <c r="F124" s="12" t="str">
        <f>IF(IFERROR(HLOOKUP(F$2,$M$2:$BL124,$J124,FALSE),"")="","",IFERROR(HLOOKUP(F$2,$M$2:$BL124,$J124,FALSE),""))</f>
        <v/>
      </c>
      <c r="G124" s="12" t="str">
        <f>IF(IFERROR(HLOOKUP(G$2,$M$2:$BL124,$J124,FALSE),"")="","",IFERROR(HLOOKUP(G$2,$M$2:$BL124,$J124,FALSE),""))</f>
        <v/>
      </c>
      <c r="J124" s="13">
        <f t="shared" si="8"/>
        <v>123</v>
      </c>
      <c r="L124" s="12" t="s">
        <v>118</v>
      </c>
      <c r="S124" s="12" t="s">
        <v>306</v>
      </c>
      <c r="T124" s="12" t="s">
        <v>521</v>
      </c>
      <c r="V124" s="23" t="s">
        <v>743</v>
      </c>
    </row>
    <row r="125" spans="1:26" ht="15" customHeight="1">
      <c r="A125" s="12" t="str">
        <f t="shared" si="15"/>
        <v>BB</v>
      </c>
      <c r="B125" s="12" t="str">
        <f>IF(IFERROR(HLOOKUP(B$2,$M$2:$BL125,$J125,FALSE),"")="","",IFERROR(HLOOKUP(B$2,$M$2:$BL125,$J125,FALSE),""))</f>
        <v/>
      </c>
      <c r="C125" s="12" t="str">
        <f>IF(IFERROR(HLOOKUP(C$2,$M$2:$BL125,$J125,FALSE),"")="","",IFERROR(HLOOKUP(C$2,$M$2:$BL125,$J125,FALSE),""))</f>
        <v/>
      </c>
      <c r="D125" s="12" t="str">
        <f>IF(IFERROR(HLOOKUP(D$2,$M$2:$BL125,$J125,FALSE),"")="","",IFERROR(HLOOKUP(D$2,$M$2:$BL125,$J125,FALSE),""))</f>
        <v/>
      </c>
      <c r="E125" s="12" t="str">
        <f>IF(IFERROR(HLOOKUP(E$2,$M$2:$BL125,$J125,FALSE),"")="","",IFERROR(HLOOKUP(E$2,$M$2:$BL125,$J125,FALSE),""))</f>
        <v/>
      </c>
      <c r="F125" s="12" t="str">
        <f>IF(IFERROR(HLOOKUP(F$2,$M$2:$BL125,$J125,FALSE),"")="","",IFERROR(HLOOKUP(F$2,$M$2:$BL125,$J125,FALSE),""))</f>
        <v/>
      </c>
      <c r="G125" s="12" t="str">
        <f>IF(IFERROR(HLOOKUP(G$2,$M$2:$BL125,$J125,FALSE),"")="","",IFERROR(HLOOKUP(G$2,$M$2:$BL125,$J125,FALSE),""))</f>
        <v/>
      </c>
      <c r="J125" s="13">
        <f t="shared" si="8"/>
        <v>124</v>
      </c>
      <c r="L125" s="12" t="s">
        <v>139</v>
      </c>
      <c r="S125" s="12" t="s">
        <v>478</v>
      </c>
      <c r="T125" s="12" t="s">
        <v>529</v>
      </c>
      <c r="V125" s="24" t="s">
        <v>744</v>
      </c>
    </row>
    <row r="126" spans="1:26" ht="15" customHeight="1">
      <c r="A126" s="12" t="str">
        <f t="shared" si="15"/>
        <v>B</v>
      </c>
      <c r="B126" s="12" t="str">
        <f>IF(IFERROR(HLOOKUP(B$2,$M$2:$BL126,$J126,FALSE),"")="","",IFERROR(HLOOKUP(B$2,$M$2:$BL126,$J126,FALSE),""))</f>
        <v/>
      </c>
      <c r="C126" s="12" t="str">
        <f>IF(IFERROR(HLOOKUP(C$2,$M$2:$BL126,$J126,FALSE),"")="","",IFERROR(HLOOKUP(C$2,$M$2:$BL126,$J126,FALSE),""))</f>
        <v/>
      </c>
      <c r="D126" s="12" t="str">
        <f>IF(IFERROR(HLOOKUP(D$2,$M$2:$BL126,$J126,FALSE),"")="","",IFERROR(HLOOKUP(D$2,$M$2:$BL126,$J126,FALSE),""))</f>
        <v/>
      </c>
      <c r="E126" s="12" t="str">
        <f>IF(IFERROR(HLOOKUP(E$2,$M$2:$BL126,$J126,FALSE),"")="","",IFERROR(HLOOKUP(E$2,$M$2:$BL126,$J126,FALSE),""))</f>
        <v/>
      </c>
      <c r="F126" s="12" t="str">
        <f>IF(IFERROR(HLOOKUP(F$2,$M$2:$BL126,$J126,FALSE),"")="","",IFERROR(HLOOKUP(F$2,$M$2:$BL126,$J126,FALSE),""))</f>
        <v/>
      </c>
      <c r="G126" s="12" t="str">
        <f>IF(IFERROR(HLOOKUP(G$2,$M$2:$BL126,$J126,FALSE),"")="","",IFERROR(HLOOKUP(G$2,$M$2:$BL126,$J126,FALSE),""))</f>
        <v/>
      </c>
      <c r="J126" s="13">
        <f t="shared" si="8"/>
        <v>125</v>
      </c>
      <c r="L126" s="12" t="s">
        <v>179</v>
      </c>
      <c r="S126" s="12" t="s">
        <v>714</v>
      </c>
      <c r="T126" s="12" t="s">
        <v>542</v>
      </c>
      <c r="V126" s="24" t="s">
        <v>744</v>
      </c>
    </row>
    <row r="127" spans="1:26" ht="15" customHeight="1">
      <c r="A127" s="12" t="str">
        <f t="shared" si="15"/>
        <v>CCC and below</v>
      </c>
      <c r="B127" s="12" t="str">
        <f>IF(IFERROR(HLOOKUP(B$2,$M$2:$BL127,$J127,FALSE),"")="","",IFERROR(HLOOKUP(B$2,$M$2:$BL127,$J127,FALSE),""))</f>
        <v/>
      </c>
      <c r="C127" s="12" t="str">
        <f>IF(IFERROR(HLOOKUP(C$2,$M$2:$BL127,$J127,FALSE),"")="","",IFERROR(HLOOKUP(C$2,$M$2:$BL127,$J127,FALSE),""))</f>
        <v/>
      </c>
      <c r="D127" s="12" t="str">
        <f>IF(IFERROR(HLOOKUP(D$2,$M$2:$BL127,$J127,FALSE),"")="","",IFERROR(HLOOKUP(D$2,$M$2:$BL127,$J127,FALSE),""))</f>
        <v/>
      </c>
      <c r="E127" s="12" t="str">
        <f>IF(IFERROR(HLOOKUP(E$2,$M$2:$BL127,$J127,FALSE),"")="","",IFERROR(HLOOKUP(E$2,$M$2:$BL127,$J127,FALSE),""))</f>
        <v/>
      </c>
      <c r="F127" s="12" t="str">
        <f>IF(IFERROR(HLOOKUP(F$2,$M$2:$BL127,$J127,FALSE),"")="","",IFERROR(HLOOKUP(F$2,$M$2:$BL127,$J127,FALSE),""))</f>
        <v/>
      </c>
      <c r="G127" s="12" t="str">
        <f>IF(IFERROR(HLOOKUP(G$2,$M$2:$BL127,$J127,FALSE),"")="","",IFERROR(HLOOKUP(G$2,$M$2:$BL127,$J127,FALSE),""))</f>
        <v/>
      </c>
      <c r="J127" s="13">
        <f t="shared" si="8"/>
        <v>126</v>
      </c>
      <c r="L127" s="12" t="s">
        <v>205</v>
      </c>
      <c r="S127" s="12" t="s">
        <v>687</v>
      </c>
      <c r="T127" s="12" t="s">
        <v>741</v>
      </c>
      <c r="V127" s="12" t="s">
        <v>745</v>
      </c>
    </row>
    <row r="128" spans="1:26" s="15" customFormat="1" ht="15" customHeight="1">
      <c r="A128" s="18" t="str">
        <f>+K128</f>
        <v>Factor 5</v>
      </c>
      <c r="B128" s="18" t="str">
        <f>IF(IFERROR(HLOOKUP(B$2,$M$2:$BL128,$J128,FALSE),"")="","",IFERROR(HLOOKUP(B$2,$M$2:$BL128,$J128,FALSE),""))</f>
        <v/>
      </c>
      <c r="C128" s="18" t="str">
        <f>IF(IFERROR(HLOOKUP(C$2,$M$2:$BL128,$J128,FALSE),"")="","",IFERROR(HLOOKUP(C$2,$M$2:$BL128,$J128,FALSE),""))</f>
        <v/>
      </c>
      <c r="D128" s="18" t="str">
        <f>IF(IFERROR(HLOOKUP(D$2,$M$2:$BL128,$J128,FALSE),"")="","",IFERROR(HLOOKUP(D$2,$M$2:$BL128,$J128,FALSE),""))</f>
        <v/>
      </c>
      <c r="E128" s="18" t="str">
        <f>IF(IFERROR(HLOOKUP(E$2,$M$2:$BL128,$J128,FALSE),"")="","",IFERROR(HLOOKUP(E$2,$M$2:$BL128,$J128,FALSE),""))</f>
        <v/>
      </c>
      <c r="F128" s="18" t="str">
        <f>IF(IFERROR(HLOOKUP(F$2,$M$2:$BL128,$J128,FALSE),"")="","",IFERROR(HLOOKUP(F$2,$M$2:$BL128,$J128,FALSE),""))</f>
        <v/>
      </c>
      <c r="G128" s="18" t="str">
        <f>IF(IFERROR(HLOOKUP(G$2,$M$2:$BL128,$J128,FALSE),"")="","",IFERROR(HLOOKUP(G$2,$M$2:$BL128,$J128,FALSE),""))</f>
        <v/>
      </c>
      <c r="H128" s="18"/>
      <c r="J128" s="16">
        <f t="shared" si="8"/>
        <v>127</v>
      </c>
      <c r="K128" s="15" t="s">
        <v>338</v>
      </c>
      <c r="T128" s="15" t="s">
        <v>746</v>
      </c>
    </row>
    <row r="129" spans="1:25" ht="15" customHeight="1">
      <c r="A129" s="12" t="str">
        <f t="shared" ref="A129:A134" si="16">+L129</f>
        <v>AA and above</v>
      </c>
      <c r="B129" s="12" t="str">
        <f>IF(IFERROR(HLOOKUP(B$2,$M$2:$BL129,$J129,FALSE),"")="","",IFERROR(HLOOKUP(B$2,$M$2:$BL129,$J129,FALSE),""))</f>
        <v/>
      </c>
      <c r="C129" s="12" t="str">
        <f>IF(IFERROR(HLOOKUP(C$2,$M$2:$BL129,$J129,FALSE),"")="","",IFERROR(HLOOKUP(C$2,$M$2:$BL129,$J129,FALSE),""))</f>
        <v/>
      </c>
      <c r="D129" s="12" t="str">
        <f>IF(IFERROR(HLOOKUP(D$2,$M$2:$BL129,$J129,FALSE),"")="","",IFERROR(HLOOKUP(D$2,$M$2:$BL129,$J129,FALSE),""))</f>
        <v/>
      </c>
      <c r="E129" s="12" t="str">
        <f>IF(IFERROR(HLOOKUP(E$2,$M$2:$BL129,$J129,FALSE),"")="","",IFERROR(HLOOKUP(E$2,$M$2:$BL129,$J129,FALSE),""))</f>
        <v/>
      </c>
      <c r="F129" s="12" t="str">
        <f>IF(IFERROR(HLOOKUP(F$2,$M$2:$BL129,$J129,FALSE),"")="","",IFERROR(HLOOKUP(F$2,$M$2:$BL129,$J129,FALSE),""))</f>
        <v/>
      </c>
      <c r="G129" s="12" t="str">
        <f>IF(IFERROR(HLOOKUP(G$2,$M$2:$BL129,$J129,FALSE),"")="","",IFERROR(HLOOKUP(G$2,$M$2:$BL129,$J129,FALSE),""))</f>
        <v/>
      </c>
      <c r="J129" s="13">
        <f t="shared" si="8"/>
        <v>128</v>
      </c>
      <c r="L129" s="12" t="s">
        <v>78</v>
      </c>
      <c r="S129" s="17"/>
      <c r="T129" s="23" t="s">
        <v>747</v>
      </c>
    </row>
    <row r="130" spans="1:25" ht="15" customHeight="1">
      <c r="A130" s="12" t="str">
        <f t="shared" si="16"/>
        <v>A</v>
      </c>
      <c r="B130" s="12" t="str">
        <f>IF(IFERROR(HLOOKUP(B$2,$M$2:$BL130,$J130,FALSE),"")="","",IFERROR(HLOOKUP(B$2,$M$2:$BL130,$J130,FALSE),""))</f>
        <v/>
      </c>
      <c r="C130" s="12" t="str">
        <f>IF(IFERROR(HLOOKUP(C$2,$M$2:$BL130,$J130,FALSE),"")="","",IFERROR(HLOOKUP(C$2,$M$2:$BL130,$J130,FALSE),""))</f>
        <v/>
      </c>
      <c r="D130" s="12" t="str">
        <f>IF(IFERROR(HLOOKUP(D$2,$M$2:$BL130,$J130,FALSE),"")="","",IFERROR(HLOOKUP(D$2,$M$2:$BL130,$J130,FALSE),""))</f>
        <v/>
      </c>
      <c r="E130" s="12" t="str">
        <f>IF(IFERROR(HLOOKUP(E$2,$M$2:$BL130,$J130,FALSE),"")="","",IFERROR(HLOOKUP(E$2,$M$2:$BL130,$J130,FALSE),""))</f>
        <v/>
      </c>
      <c r="F130" s="12" t="str">
        <f>IF(IFERROR(HLOOKUP(F$2,$M$2:$BL130,$J130,FALSE),"")="","",IFERROR(HLOOKUP(F$2,$M$2:$BL130,$J130,FALSE),""))</f>
        <v/>
      </c>
      <c r="G130" s="12" t="str">
        <f>IF(IFERROR(HLOOKUP(G$2,$M$2:$BL130,$J130,FALSE),"")="","",IFERROR(HLOOKUP(G$2,$M$2:$BL130,$J130,FALSE),""))</f>
        <v/>
      </c>
      <c r="J130" s="13">
        <f t="shared" si="8"/>
        <v>129</v>
      </c>
      <c r="L130" s="12" t="s">
        <v>8</v>
      </c>
      <c r="S130" s="17"/>
      <c r="T130" s="23" t="s">
        <v>747</v>
      </c>
    </row>
    <row r="131" spans="1:25" ht="15" customHeight="1">
      <c r="A131" s="12" t="str">
        <f t="shared" si="16"/>
        <v>BBB</v>
      </c>
      <c r="B131" s="12" t="str">
        <f>IF(IFERROR(HLOOKUP(B$2,$M$2:$BL131,$J131,FALSE),"")="","",IFERROR(HLOOKUP(B$2,$M$2:$BL131,$J131,FALSE),""))</f>
        <v/>
      </c>
      <c r="C131" s="12" t="str">
        <f>IF(IFERROR(HLOOKUP(C$2,$M$2:$BL131,$J131,FALSE),"")="","",IFERROR(HLOOKUP(C$2,$M$2:$BL131,$J131,FALSE),""))</f>
        <v/>
      </c>
      <c r="D131" s="12" t="str">
        <f>IF(IFERROR(HLOOKUP(D$2,$M$2:$BL131,$J131,FALSE),"")="","",IFERROR(HLOOKUP(D$2,$M$2:$BL131,$J131,FALSE),""))</f>
        <v/>
      </c>
      <c r="E131" s="12" t="str">
        <f>IF(IFERROR(HLOOKUP(E$2,$M$2:$BL131,$J131,FALSE),"")="","",IFERROR(HLOOKUP(E$2,$M$2:$BL131,$J131,FALSE),""))</f>
        <v/>
      </c>
      <c r="F131" s="12" t="str">
        <f>IF(IFERROR(HLOOKUP(F$2,$M$2:$BL131,$J131,FALSE),"")="","",IFERROR(HLOOKUP(F$2,$M$2:$BL131,$J131,FALSE),""))</f>
        <v/>
      </c>
      <c r="G131" s="12" t="str">
        <f>IF(IFERROR(HLOOKUP(G$2,$M$2:$BL131,$J131,FALSE),"")="","",IFERROR(HLOOKUP(G$2,$M$2:$BL131,$J131,FALSE),""))</f>
        <v/>
      </c>
      <c r="J131" s="13">
        <f t="shared" ref="J131:J194" si="17">+J130+1</f>
        <v>130</v>
      </c>
      <c r="L131" s="12" t="s">
        <v>118</v>
      </c>
      <c r="S131" s="17"/>
      <c r="T131" s="23" t="s">
        <v>747</v>
      </c>
    </row>
    <row r="132" spans="1:25" ht="15" customHeight="1">
      <c r="A132" s="12" t="str">
        <f t="shared" si="16"/>
        <v>BB</v>
      </c>
      <c r="B132" s="12" t="str">
        <f>IF(IFERROR(HLOOKUP(B$2,$M$2:$BL132,$J132,FALSE),"")="","",IFERROR(HLOOKUP(B$2,$M$2:$BL132,$J132,FALSE),""))</f>
        <v/>
      </c>
      <c r="C132" s="12" t="str">
        <f>IF(IFERROR(HLOOKUP(C$2,$M$2:$BL132,$J132,FALSE),"")="","",IFERROR(HLOOKUP(C$2,$M$2:$BL132,$J132,FALSE),""))</f>
        <v/>
      </c>
      <c r="D132" s="12" t="str">
        <f>IF(IFERROR(HLOOKUP(D$2,$M$2:$BL132,$J132,FALSE),"")="","",IFERROR(HLOOKUP(D$2,$M$2:$BL132,$J132,FALSE),""))</f>
        <v/>
      </c>
      <c r="E132" s="12" t="str">
        <f>IF(IFERROR(HLOOKUP(E$2,$M$2:$BL132,$J132,FALSE),"")="","",IFERROR(HLOOKUP(E$2,$M$2:$BL132,$J132,FALSE),""))</f>
        <v/>
      </c>
      <c r="F132" s="12" t="str">
        <f>IF(IFERROR(HLOOKUP(F$2,$M$2:$BL132,$J132,FALSE),"")="","",IFERROR(HLOOKUP(F$2,$M$2:$BL132,$J132,FALSE),""))</f>
        <v/>
      </c>
      <c r="G132" s="12" t="str">
        <f>IF(IFERROR(HLOOKUP(G$2,$M$2:$BL132,$J132,FALSE),"")="","",IFERROR(HLOOKUP(G$2,$M$2:$BL132,$J132,FALSE),""))</f>
        <v/>
      </c>
      <c r="J132" s="13">
        <f t="shared" si="17"/>
        <v>131</v>
      </c>
      <c r="L132" s="12" t="s">
        <v>139</v>
      </c>
      <c r="S132" s="17"/>
      <c r="T132" s="23" t="s">
        <v>748</v>
      </c>
    </row>
    <row r="133" spans="1:25" ht="15" customHeight="1">
      <c r="A133" s="12" t="str">
        <f t="shared" si="16"/>
        <v>B</v>
      </c>
      <c r="B133" s="12" t="str">
        <f>IF(IFERROR(HLOOKUP(B$2,$M$2:$BL133,$J133,FALSE),"")="","",IFERROR(HLOOKUP(B$2,$M$2:$BL133,$J133,FALSE),""))</f>
        <v/>
      </c>
      <c r="C133" s="12" t="str">
        <f>IF(IFERROR(HLOOKUP(C$2,$M$2:$BL133,$J133,FALSE),"")="","",IFERROR(HLOOKUP(C$2,$M$2:$BL133,$J133,FALSE),""))</f>
        <v/>
      </c>
      <c r="D133" s="12" t="str">
        <f>IF(IFERROR(HLOOKUP(D$2,$M$2:$BL133,$J133,FALSE),"")="","",IFERROR(HLOOKUP(D$2,$M$2:$BL133,$J133,FALSE),""))</f>
        <v/>
      </c>
      <c r="E133" s="12" t="str">
        <f>IF(IFERROR(HLOOKUP(E$2,$M$2:$BL133,$J133,FALSE),"")="","",IFERROR(HLOOKUP(E$2,$M$2:$BL133,$J133,FALSE),""))</f>
        <v/>
      </c>
      <c r="F133" s="12" t="str">
        <f>IF(IFERROR(HLOOKUP(F$2,$M$2:$BL133,$J133,FALSE),"")="","",IFERROR(HLOOKUP(F$2,$M$2:$BL133,$J133,FALSE),""))</f>
        <v/>
      </c>
      <c r="G133" s="12" t="str">
        <f>IF(IFERROR(HLOOKUP(G$2,$M$2:$BL133,$J133,FALSE),"")="","",IFERROR(HLOOKUP(G$2,$M$2:$BL133,$J133,FALSE),""))</f>
        <v/>
      </c>
      <c r="J133" s="13">
        <f t="shared" si="17"/>
        <v>132</v>
      </c>
      <c r="L133" s="12" t="s">
        <v>179</v>
      </c>
      <c r="S133" s="17"/>
      <c r="T133" s="23" t="s">
        <v>748</v>
      </c>
    </row>
    <row r="134" spans="1:25" ht="15" customHeight="1">
      <c r="A134" s="12" t="str">
        <f t="shared" si="16"/>
        <v>CCC and below</v>
      </c>
      <c r="B134" s="12" t="str">
        <f>IF(IFERROR(HLOOKUP(B$2,$M$2:$BL134,$J134,FALSE),"")="","",IFERROR(HLOOKUP(B$2,$M$2:$BL134,$J134,FALSE),""))</f>
        <v/>
      </c>
      <c r="C134" s="12" t="str">
        <f>IF(IFERROR(HLOOKUP(C$2,$M$2:$BL134,$J134,FALSE),"")="","",IFERROR(HLOOKUP(C$2,$M$2:$BL134,$J134,FALSE),""))</f>
        <v/>
      </c>
      <c r="D134" s="12" t="str">
        <f>IF(IFERROR(HLOOKUP(D$2,$M$2:$BL134,$J134,FALSE),"")="","",IFERROR(HLOOKUP(D$2,$M$2:$BL134,$J134,FALSE),""))</f>
        <v/>
      </c>
      <c r="E134" s="12" t="str">
        <f>IF(IFERROR(HLOOKUP(E$2,$M$2:$BL134,$J134,FALSE),"")="","",IFERROR(HLOOKUP(E$2,$M$2:$BL134,$J134,FALSE),""))</f>
        <v/>
      </c>
      <c r="F134" s="12" t="str">
        <f>IF(IFERROR(HLOOKUP(F$2,$M$2:$BL134,$J134,FALSE),"")="","",IFERROR(HLOOKUP(F$2,$M$2:$BL134,$J134,FALSE),""))</f>
        <v/>
      </c>
      <c r="G134" s="12" t="str">
        <f>IF(IFERROR(HLOOKUP(G$2,$M$2:$BL134,$J134,FALSE),"")="","",IFERROR(HLOOKUP(G$2,$M$2:$BL134,$J134,FALSE),""))</f>
        <v/>
      </c>
      <c r="J134" s="13">
        <f t="shared" si="17"/>
        <v>133</v>
      </c>
      <c r="L134" s="12" t="s">
        <v>205</v>
      </c>
      <c r="S134" s="17"/>
      <c r="T134" s="23" t="s">
        <v>748</v>
      </c>
    </row>
    <row r="135" spans="1:25">
      <c r="J135" s="13">
        <f t="shared" si="17"/>
        <v>134</v>
      </c>
    </row>
    <row r="136" spans="1:25">
      <c r="B136" s="15" t="s">
        <v>749</v>
      </c>
      <c r="C136" s="15" t="s">
        <v>750</v>
      </c>
      <c r="D136" s="15" t="s">
        <v>751</v>
      </c>
      <c r="E136" s="15" t="s">
        <v>752</v>
      </c>
      <c r="F136" s="15" t="s">
        <v>753</v>
      </c>
      <c r="G136" s="15" t="s">
        <v>754</v>
      </c>
      <c r="H136" s="15"/>
      <c r="J136" s="13">
        <f t="shared" si="17"/>
        <v>135</v>
      </c>
    </row>
    <row r="137" spans="1:25">
      <c r="B137" s="15" t="s">
        <v>755</v>
      </c>
      <c r="C137" s="15" t="s">
        <v>756</v>
      </c>
      <c r="D137" s="15" t="s">
        <v>757</v>
      </c>
      <c r="E137" s="15" t="s">
        <v>758</v>
      </c>
      <c r="F137" s="15" t="s">
        <v>759</v>
      </c>
      <c r="G137" s="15" t="s">
        <v>760</v>
      </c>
      <c r="H137" s="15"/>
      <c r="J137" s="13">
        <f t="shared" si="17"/>
        <v>136</v>
      </c>
    </row>
    <row r="138" spans="1:25">
      <c r="B138" s="15" t="s">
        <v>761</v>
      </c>
      <c r="C138" s="15" t="s">
        <v>762</v>
      </c>
      <c r="D138" s="15" t="s">
        <v>763</v>
      </c>
      <c r="E138" s="15" t="s">
        <v>764</v>
      </c>
      <c r="F138" s="15" t="s">
        <v>765</v>
      </c>
      <c r="G138" s="15" t="s">
        <v>766</v>
      </c>
      <c r="H138" s="15"/>
      <c r="J138" s="13">
        <f t="shared" si="17"/>
        <v>137</v>
      </c>
    </row>
    <row r="139" spans="1:25">
      <c r="B139" s="15" t="s">
        <v>767</v>
      </c>
      <c r="C139" s="15" t="s">
        <v>768</v>
      </c>
      <c r="D139" s="15" t="s">
        <v>769</v>
      </c>
      <c r="E139" s="15" t="s">
        <v>770</v>
      </c>
      <c r="F139" s="15" t="s">
        <v>771</v>
      </c>
      <c r="G139" s="15" t="s">
        <v>772</v>
      </c>
      <c r="H139" s="15"/>
      <c r="J139" s="13">
        <f t="shared" si="17"/>
        <v>138</v>
      </c>
    </row>
    <row r="140" spans="1:25">
      <c r="B140" s="15" t="s">
        <v>773</v>
      </c>
      <c r="C140" s="15" t="s">
        <v>774</v>
      </c>
      <c r="D140" s="15" t="s">
        <v>775</v>
      </c>
      <c r="E140" s="15" t="s">
        <v>776</v>
      </c>
      <c r="F140" s="15" t="s">
        <v>777</v>
      </c>
      <c r="G140" s="15" t="s">
        <v>778</v>
      </c>
      <c r="H140" s="15"/>
      <c r="J140" s="13">
        <f t="shared" si="17"/>
        <v>139</v>
      </c>
    </row>
    <row r="141" spans="1:25">
      <c r="J141" s="12">
        <f t="shared" si="17"/>
        <v>140</v>
      </c>
    </row>
    <row r="142" spans="1:25" s="14" customFormat="1">
      <c r="A142" s="20" t="s">
        <v>779</v>
      </c>
      <c r="B142" s="14" t="str">
        <f>IF(IFERROR(HLOOKUP(B$2,$M$2:$BL142,$J142,FALSE),"")="","",IFERROR(HLOOKUP(B$2,$M$2:$BL142,$J142,FALSE),""))</f>
        <v/>
      </c>
      <c r="C142" s="14" t="str">
        <f>IF(IFERROR(HLOOKUP(C$2,$M$2:$BL142,$J142,FALSE),"")="","",IFERROR(HLOOKUP(C$2,$M$2:$BL142,$J142,FALSE),""))</f>
        <v/>
      </c>
      <c r="D142" s="14" t="str">
        <f>IF(IFERROR(HLOOKUP(D$2,$M$2:$BL142,$J142,FALSE),"")="","",IFERROR(HLOOKUP(D$2,$M$2:$BL142,$J142,FALSE),""))</f>
        <v/>
      </c>
      <c r="E142" s="14" t="str">
        <f>IF(IFERROR(HLOOKUP(E$2,$M$2:$BL142,$J142,FALSE),"")="","",IFERROR(HLOOKUP(E$2,$M$2:$BL142,$J142,FALSE),""))</f>
        <v/>
      </c>
      <c r="F142" s="14" t="str">
        <f>IF(IFERROR(HLOOKUP(F$2,$M$2:$BL142,$J142,FALSE),"")="","",IFERROR(HLOOKUP(F$2,$M$2:$BL142,$J142,FALSE),""))</f>
        <v/>
      </c>
      <c r="G142" s="14" t="str">
        <f>IF(IFERROR(HLOOKUP(G$2,$M$2:$BL142,$J142,FALSE),"")="","",IFERROR(HLOOKUP(G$2,$M$2:$BL142,$J142,FALSE),""))</f>
        <v/>
      </c>
      <c r="J142" s="14">
        <f t="shared" si="17"/>
        <v>141</v>
      </c>
      <c r="M142" s="12"/>
      <c r="P142" s="14" t="s">
        <v>780</v>
      </c>
      <c r="Q142" s="14" t="s">
        <v>781</v>
      </c>
      <c r="R142" s="14" t="s">
        <v>782</v>
      </c>
      <c r="S142" s="14" t="s">
        <v>783</v>
      </c>
      <c r="U142" s="14" t="s">
        <v>784</v>
      </c>
      <c r="V142" s="14" t="s">
        <v>785</v>
      </c>
      <c r="Y142" s="14" t="s">
        <v>786</v>
      </c>
    </row>
    <row r="143" spans="1:25" s="15" customFormat="1">
      <c r="A143" s="18" t="str">
        <f t="shared" ref="A143:A177" si="18">+A100</f>
        <v>Factor 1</v>
      </c>
      <c r="B143" s="18" t="str">
        <f>IF(IFERROR(HLOOKUP(B$2,$M$2:$BL143,$J143,FALSE),"")="","",IFERROR(HLOOKUP(B$2,$M$2:$BL143,$J143,FALSE),""))</f>
        <v/>
      </c>
      <c r="C143" s="18" t="str">
        <f>IF(IFERROR(HLOOKUP(C$2,$M$2:$BL143,$J143,FALSE),"")="","",IFERROR(HLOOKUP(C$2,$M$2:$BL143,$J143,FALSE),""))</f>
        <v/>
      </c>
      <c r="D143" s="18" t="str">
        <f>IF(IFERROR(HLOOKUP(D$2,$M$2:$BL143,$J143,FALSE),"")="","",IFERROR(HLOOKUP(D$2,$M$2:$BL143,$J143,FALSE),""))</f>
        <v/>
      </c>
      <c r="E143" s="18" t="str">
        <f>IF(IFERROR(HLOOKUP(E$2,$M$2:$BL143,$J143,FALSE),"")="","",IFERROR(HLOOKUP(E$2,$M$2:$BL143,$J143,FALSE),""))</f>
        <v/>
      </c>
      <c r="F143" s="18" t="str">
        <f>IF(IFERROR(HLOOKUP(F$2,$M$2:$BL143,$J143,FALSE),"")="","",IFERROR(HLOOKUP(F$2,$M$2:$BL143,$J143,FALSE),""))</f>
        <v/>
      </c>
      <c r="G143" s="18" t="str">
        <f>IF(IFERROR(HLOOKUP(G$2,$M$2:$BL143,$J143,FALSE),"")="","",IFERROR(HLOOKUP(G$2,$M$2:$BL143,$J143,FALSE),""))</f>
        <v/>
      </c>
      <c r="H143" s="18"/>
      <c r="J143" s="15">
        <f t="shared" si="17"/>
        <v>142</v>
      </c>
      <c r="P143" s="15" t="s">
        <v>787</v>
      </c>
      <c r="Q143" s="15" t="s">
        <v>788</v>
      </c>
      <c r="R143" s="15" t="s">
        <v>789</v>
      </c>
      <c r="S143" s="15" t="s">
        <v>790</v>
      </c>
      <c r="U143" s="15" t="s">
        <v>791</v>
      </c>
      <c r="V143" s="15" t="s">
        <v>792</v>
      </c>
      <c r="Y143" s="15" t="s">
        <v>793</v>
      </c>
    </row>
    <row r="144" spans="1:25">
      <c r="A144" s="12" t="str">
        <f t="shared" si="18"/>
        <v>AA and above</v>
      </c>
      <c r="B144" s="12" t="str">
        <f>IF(IFERROR(HLOOKUP(B$2,$M$2:$BL144,$J144,FALSE),"")="","",IFERROR(HLOOKUP(B$2,$M$2:$BL144,$J144,FALSE),""))</f>
        <v/>
      </c>
      <c r="C144" s="12" t="str">
        <f>IF(IFERROR(HLOOKUP(C$2,$M$2:$BL144,$J144,FALSE),"")="","",IFERROR(HLOOKUP(C$2,$M$2:$BL144,$J144,FALSE),""))</f>
        <v/>
      </c>
      <c r="D144" s="12" t="str">
        <f>IF(IFERROR(HLOOKUP(D$2,$M$2:$BL144,$J144,FALSE),"")="","",IFERROR(HLOOKUP(D$2,$M$2:$BL144,$J144,FALSE),""))</f>
        <v/>
      </c>
      <c r="E144" s="12" t="str">
        <f>IF(IFERROR(HLOOKUP(E$2,$M$2:$BL144,$J144,FALSE),"")="","",IFERROR(HLOOKUP(E$2,$M$2:$BL144,$J144,FALSE),""))</f>
        <v/>
      </c>
      <c r="F144" s="12" t="str">
        <f>IF(IFERROR(HLOOKUP(F$2,$M$2:$BL144,$J144,FALSE),"")="","",IFERROR(HLOOKUP(F$2,$M$2:$BL144,$J144,FALSE),""))</f>
        <v/>
      </c>
      <c r="G144" s="12" t="str">
        <f>IF(IFERROR(HLOOKUP(G$2,$M$2:$BL144,$J144,FALSE),"")="","",IFERROR(HLOOKUP(G$2,$M$2:$BL144,$J144,FALSE),""))</f>
        <v/>
      </c>
      <c r="J144" s="12">
        <f t="shared" si="17"/>
        <v>143</v>
      </c>
      <c r="P144" s="12" t="s">
        <v>794</v>
      </c>
      <c r="Q144" s="12" t="s">
        <v>795</v>
      </c>
      <c r="R144" s="12" t="s">
        <v>796</v>
      </c>
      <c r="S144" s="12" t="s">
        <v>797</v>
      </c>
      <c r="U144" s="12" t="s">
        <v>798</v>
      </c>
      <c r="V144" s="12" t="s">
        <v>148</v>
      </c>
      <c r="Y144" s="12" t="s">
        <v>233</v>
      </c>
    </row>
    <row r="145" spans="1:25">
      <c r="A145" s="12" t="str">
        <f t="shared" si="18"/>
        <v>A</v>
      </c>
      <c r="B145" s="12" t="str">
        <f>IF(IFERROR(HLOOKUP(B$2,$M$2:$BL145,$J145,FALSE),"")="","",IFERROR(HLOOKUP(B$2,$M$2:$BL145,$J145,FALSE),""))</f>
        <v/>
      </c>
      <c r="C145" s="12" t="str">
        <f>IF(IFERROR(HLOOKUP(C$2,$M$2:$BL145,$J145,FALSE),"")="","",IFERROR(HLOOKUP(C$2,$M$2:$BL145,$J145,FALSE),""))</f>
        <v/>
      </c>
      <c r="D145" s="12" t="str">
        <f>IF(IFERROR(HLOOKUP(D$2,$M$2:$BL145,$J145,FALSE),"")="","",IFERROR(HLOOKUP(D$2,$M$2:$BL145,$J145,FALSE),""))</f>
        <v/>
      </c>
      <c r="E145" s="12" t="str">
        <f>IF(IFERROR(HLOOKUP(E$2,$M$2:$BL145,$J145,FALSE),"")="","",IFERROR(HLOOKUP(E$2,$M$2:$BL145,$J145,FALSE),""))</f>
        <v/>
      </c>
      <c r="F145" s="12" t="str">
        <f>IF(IFERROR(HLOOKUP(F$2,$M$2:$BL145,$J145,FALSE),"")="","",IFERROR(HLOOKUP(F$2,$M$2:$BL145,$J145,FALSE),""))</f>
        <v/>
      </c>
      <c r="G145" s="12" t="str">
        <f>IF(IFERROR(HLOOKUP(G$2,$M$2:$BL145,$J145,FALSE),"")="","",IFERROR(HLOOKUP(G$2,$M$2:$BL145,$J145,FALSE),""))</f>
        <v/>
      </c>
      <c r="J145" s="12">
        <f t="shared" si="17"/>
        <v>144</v>
      </c>
      <c r="P145" s="12" t="s">
        <v>799</v>
      </c>
      <c r="Q145" s="12" t="s">
        <v>800</v>
      </c>
      <c r="R145" s="12" t="s">
        <v>796</v>
      </c>
      <c r="S145" s="12" t="s">
        <v>797</v>
      </c>
      <c r="U145" s="12" t="s">
        <v>798</v>
      </c>
      <c r="V145" s="12" t="s">
        <v>801</v>
      </c>
      <c r="Y145" s="12" t="s">
        <v>660</v>
      </c>
    </row>
    <row r="146" spans="1:25">
      <c r="A146" s="12" t="str">
        <f t="shared" si="18"/>
        <v>BBB</v>
      </c>
      <c r="B146" s="12" t="str">
        <f>IF(IFERROR(HLOOKUP(B$2,$M$2:$BL146,$J146,FALSE),"")="","",IFERROR(HLOOKUP(B$2,$M$2:$BL146,$J146,FALSE),""))</f>
        <v/>
      </c>
      <c r="C146" s="12" t="str">
        <f>IF(IFERROR(HLOOKUP(C$2,$M$2:$BL146,$J146,FALSE),"")="","",IFERROR(HLOOKUP(C$2,$M$2:$BL146,$J146,FALSE),""))</f>
        <v/>
      </c>
      <c r="D146" s="12" t="str">
        <f>IF(IFERROR(HLOOKUP(D$2,$M$2:$BL146,$J146,FALSE),"")="","",IFERROR(HLOOKUP(D$2,$M$2:$BL146,$J146,FALSE),""))</f>
        <v/>
      </c>
      <c r="E146" s="12" t="str">
        <f>IF(IFERROR(HLOOKUP(E$2,$M$2:$BL146,$J146,FALSE),"")="","",IFERROR(HLOOKUP(E$2,$M$2:$BL146,$J146,FALSE),""))</f>
        <v/>
      </c>
      <c r="F146" s="12" t="str">
        <f>IF(IFERROR(HLOOKUP(F$2,$M$2:$BL146,$J146,FALSE),"")="","",IFERROR(HLOOKUP(F$2,$M$2:$BL146,$J146,FALSE),""))</f>
        <v/>
      </c>
      <c r="G146" s="12" t="str">
        <f>IF(IFERROR(HLOOKUP(G$2,$M$2:$BL146,$J146,FALSE),"")="","",IFERROR(HLOOKUP(G$2,$M$2:$BL146,$J146,FALSE),""))</f>
        <v/>
      </c>
      <c r="J146" s="12">
        <f t="shared" si="17"/>
        <v>145</v>
      </c>
      <c r="P146" s="12" t="s">
        <v>802</v>
      </c>
      <c r="Q146" s="12" t="s">
        <v>803</v>
      </c>
      <c r="R146" s="12" t="s">
        <v>804</v>
      </c>
      <c r="S146" s="12" t="s">
        <v>805</v>
      </c>
      <c r="U146" s="12" t="s">
        <v>306</v>
      </c>
      <c r="V146" s="12" t="s">
        <v>806</v>
      </c>
      <c r="Y146" s="12" t="s">
        <v>521</v>
      </c>
    </row>
    <row r="147" spans="1:25">
      <c r="A147" s="12" t="str">
        <f t="shared" si="18"/>
        <v>BB</v>
      </c>
      <c r="B147" s="12" t="str">
        <f>IF(IFERROR(HLOOKUP(B$2,$M$2:$BL147,$J147,FALSE),"")="","",IFERROR(HLOOKUP(B$2,$M$2:$BL147,$J147,FALSE),""))</f>
        <v/>
      </c>
      <c r="C147" s="12" t="str">
        <f>IF(IFERROR(HLOOKUP(C$2,$M$2:$BL147,$J147,FALSE),"")="","",IFERROR(HLOOKUP(C$2,$M$2:$BL147,$J147,FALSE),""))</f>
        <v/>
      </c>
      <c r="D147" s="12" t="str">
        <f>IF(IFERROR(HLOOKUP(D$2,$M$2:$BL147,$J147,FALSE),"")="","",IFERROR(HLOOKUP(D$2,$M$2:$BL147,$J147,FALSE),""))</f>
        <v/>
      </c>
      <c r="E147" s="12" t="str">
        <f>IF(IFERROR(HLOOKUP(E$2,$M$2:$BL147,$J147,FALSE),"")="","",IFERROR(HLOOKUP(E$2,$M$2:$BL147,$J147,FALSE),""))</f>
        <v/>
      </c>
      <c r="F147" s="12" t="str">
        <f>IF(IFERROR(HLOOKUP(F$2,$M$2:$BL147,$J147,FALSE),"")="","",IFERROR(HLOOKUP(F$2,$M$2:$BL147,$J147,FALSE),""))</f>
        <v/>
      </c>
      <c r="G147" s="12" t="str">
        <f>IF(IFERROR(HLOOKUP(G$2,$M$2:$BL147,$J147,FALSE),"")="","",IFERROR(HLOOKUP(G$2,$M$2:$BL147,$J147,FALSE),""))</f>
        <v/>
      </c>
      <c r="J147" s="12">
        <f t="shared" si="17"/>
        <v>146</v>
      </c>
      <c r="P147" s="12" t="s">
        <v>807</v>
      </c>
      <c r="Q147" s="12" t="s">
        <v>808</v>
      </c>
      <c r="R147" s="12" t="s">
        <v>809</v>
      </c>
      <c r="S147" s="12" t="s">
        <v>810</v>
      </c>
      <c r="U147" s="12" t="s">
        <v>586</v>
      </c>
      <c r="V147" s="12" t="s">
        <v>811</v>
      </c>
      <c r="Y147" s="12" t="s">
        <v>264</v>
      </c>
    </row>
    <row r="148" spans="1:25">
      <c r="A148" s="12" t="str">
        <f t="shared" si="18"/>
        <v>B</v>
      </c>
      <c r="B148" s="12" t="str">
        <f>IF(IFERROR(HLOOKUP(B$2,$M$2:$BL148,$J148,FALSE),"")="","",IFERROR(HLOOKUP(B$2,$M$2:$BL148,$J148,FALSE),""))</f>
        <v/>
      </c>
      <c r="C148" s="12" t="str">
        <f>IF(IFERROR(HLOOKUP(C$2,$M$2:$BL148,$J148,FALSE),"")="","",IFERROR(HLOOKUP(C$2,$M$2:$BL148,$J148,FALSE),""))</f>
        <v/>
      </c>
      <c r="D148" s="12" t="str">
        <f>IF(IFERROR(HLOOKUP(D$2,$M$2:$BL148,$J148,FALSE),"")="","",IFERROR(HLOOKUP(D$2,$M$2:$BL148,$J148,FALSE),""))</f>
        <v/>
      </c>
      <c r="E148" s="12" t="str">
        <f>IF(IFERROR(HLOOKUP(E$2,$M$2:$BL148,$J148,FALSE),"")="","",IFERROR(HLOOKUP(E$2,$M$2:$BL148,$J148,FALSE),""))</f>
        <v/>
      </c>
      <c r="F148" s="12" t="str">
        <f>IF(IFERROR(HLOOKUP(F$2,$M$2:$BL148,$J148,FALSE),"")="","",IFERROR(HLOOKUP(F$2,$M$2:$BL148,$J148,FALSE),""))</f>
        <v/>
      </c>
      <c r="G148" s="12" t="str">
        <f>IF(IFERROR(HLOOKUP(G$2,$M$2:$BL148,$J148,FALSE),"")="","",IFERROR(HLOOKUP(G$2,$M$2:$BL148,$J148,FALSE),""))</f>
        <v/>
      </c>
      <c r="J148" s="12">
        <f t="shared" si="17"/>
        <v>147</v>
      </c>
      <c r="P148" s="12" t="s">
        <v>812</v>
      </c>
      <c r="Q148" s="12" t="s">
        <v>813</v>
      </c>
      <c r="R148" s="12" t="s">
        <v>814</v>
      </c>
      <c r="S148" s="12" t="s">
        <v>815</v>
      </c>
      <c r="U148" s="12" t="s">
        <v>591</v>
      </c>
      <c r="V148" s="12" t="s">
        <v>816</v>
      </c>
      <c r="Y148" s="12" t="s">
        <v>264</v>
      </c>
    </row>
    <row r="149" spans="1:25">
      <c r="A149" s="12" t="str">
        <f t="shared" si="18"/>
        <v>CCC and below</v>
      </c>
      <c r="B149" s="12" t="str">
        <f>IF(IFERROR(HLOOKUP(B$2,$M$2:$BL149,$J149,FALSE),"")="","",IFERROR(HLOOKUP(B$2,$M$2:$BL149,$J149,FALSE),""))</f>
        <v/>
      </c>
      <c r="C149" s="12" t="str">
        <f>IF(IFERROR(HLOOKUP(C$2,$M$2:$BL149,$J149,FALSE),"")="","",IFERROR(HLOOKUP(C$2,$M$2:$BL149,$J149,FALSE),""))</f>
        <v/>
      </c>
      <c r="D149" s="12" t="str">
        <f>IF(IFERROR(HLOOKUP(D$2,$M$2:$BL149,$J149,FALSE),"")="","",IFERROR(HLOOKUP(D$2,$M$2:$BL149,$J149,FALSE),""))</f>
        <v/>
      </c>
      <c r="E149" s="12" t="str">
        <f>IF(IFERROR(HLOOKUP(E$2,$M$2:$BL149,$J149,FALSE),"")="","",IFERROR(HLOOKUP(E$2,$M$2:$BL149,$J149,FALSE),""))</f>
        <v/>
      </c>
      <c r="F149" s="12" t="str">
        <f>IF(IFERROR(HLOOKUP(F$2,$M$2:$BL149,$J149,FALSE),"")="","",IFERROR(HLOOKUP(F$2,$M$2:$BL149,$J149,FALSE),""))</f>
        <v/>
      </c>
      <c r="G149" s="12" t="str">
        <f>IF(IFERROR(HLOOKUP(G$2,$M$2:$BL149,$J149,FALSE),"")="","",IFERROR(HLOOKUP(G$2,$M$2:$BL149,$J149,FALSE),""))</f>
        <v/>
      </c>
      <c r="J149" s="12">
        <f t="shared" si="17"/>
        <v>148</v>
      </c>
      <c r="P149" s="12" t="s">
        <v>817</v>
      </c>
      <c r="Q149" s="12" t="s">
        <v>818</v>
      </c>
      <c r="R149" s="12" t="s">
        <v>819</v>
      </c>
      <c r="S149" s="12" t="s">
        <v>820</v>
      </c>
      <c r="U149" s="12" t="s">
        <v>148</v>
      </c>
      <c r="V149" s="12" t="s">
        <v>821</v>
      </c>
      <c r="Y149" s="12" t="s">
        <v>148</v>
      </c>
    </row>
    <row r="150" spans="1:25" s="15" customFormat="1">
      <c r="A150" s="18" t="str">
        <f t="shared" si="18"/>
        <v>Factor 2</v>
      </c>
      <c r="B150" s="15" t="str">
        <f>IF(IFERROR(HLOOKUP(B$2,$M$2:$BL150,$J150,FALSE),"")="","",IFERROR(HLOOKUP(B$2,$M$2:$BL150,$J150,FALSE),""))</f>
        <v/>
      </c>
      <c r="C150" s="18" t="str">
        <f>IF(IFERROR(HLOOKUP(C$2,$M$2:$BL150,$J150,FALSE),"")="","",IFERROR(HLOOKUP(C$2,$M$2:$BL150,$J150,FALSE),""))</f>
        <v/>
      </c>
      <c r="D150" s="18" t="str">
        <f>IF(IFERROR(HLOOKUP(D$2,$M$2:$BL150,$J150,FALSE),"")="","",IFERROR(HLOOKUP(D$2,$M$2:$BL150,$J150,FALSE),""))</f>
        <v/>
      </c>
      <c r="E150" s="18" t="str">
        <f>IF(IFERROR(HLOOKUP(E$2,$M$2:$BL150,$J150,FALSE),"")="","",IFERROR(HLOOKUP(E$2,$M$2:$BL150,$J150,FALSE),""))</f>
        <v/>
      </c>
      <c r="F150" s="18" t="str">
        <f>IF(IFERROR(HLOOKUP(F$2,$M$2:$BL150,$J150,FALSE),"")="","",IFERROR(HLOOKUP(F$2,$M$2:$BL150,$J150,FALSE),""))</f>
        <v/>
      </c>
      <c r="G150" s="18" t="str">
        <f>IF(IFERROR(HLOOKUP(G$2,$M$2:$BL150,$J150,FALSE),"")="","",IFERROR(HLOOKUP(G$2,$M$2:$BL150,$J150,FALSE),""))</f>
        <v/>
      </c>
      <c r="H150" s="18"/>
      <c r="J150" s="15">
        <f t="shared" si="17"/>
        <v>149</v>
      </c>
      <c r="P150" s="15" t="s">
        <v>822</v>
      </c>
      <c r="R150" s="15" t="s">
        <v>823</v>
      </c>
      <c r="S150" s="15" t="s">
        <v>824</v>
      </c>
      <c r="U150" s="15" t="s">
        <v>825</v>
      </c>
      <c r="V150" s="15" t="s">
        <v>826</v>
      </c>
      <c r="Y150" s="15" t="s">
        <v>827</v>
      </c>
    </row>
    <row r="151" spans="1:25">
      <c r="A151" s="12" t="str">
        <f t="shared" si="18"/>
        <v>AA and above</v>
      </c>
      <c r="B151" s="12" t="str">
        <f>IF(IFERROR(HLOOKUP(B$2,$M$2:$BL151,$J151,FALSE),"")="","",IFERROR(HLOOKUP(B$2,$M$2:$BL151,$J151,FALSE),""))</f>
        <v/>
      </c>
      <c r="C151" s="12" t="str">
        <f>IF(IFERROR(HLOOKUP(C$2,$M$2:$BL151,$J151,FALSE),"")="","",IFERROR(HLOOKUP(C$2,$M$2:$BL151,$J151,FALSE),""))</f>
        <v/>
      </c>
      <c r="D151" s="12" t="str">
        <f>IF(IFERROR(HLOOKUP(D$2,$M$2:$BL151,$J151,FALSE),"")="","",IFERROR(HLOOKUP(D$2,$M$2:$BL151,$J151,FALSE),""))</f>
        <v/>
      </c>
      <c r="E151" s="12" t="str">
        <f>IF(IFERROR(HLOOKUP(E$2,$M$2:$BL151,$J151,FALSE),"")="","",IFERROR(HLOOKUP(E$2,$M$2:$BL151,$J151,FALSE),""))</f>
        <v/>
      </c>
      <c r="F151" s="12" t="str">
        <f>IF(IFERROR(HLOOKUP(F$2,$M$2:$BL151,$J151,FALSE),"")="","",IFERROR(HLOOKUP(F$2,$M$2:$BL151,$J151,FALSE),""))</f>
        <v/>
      </c>
      <c r="G151" s="12" t="str">
        <f>IF(IFERROR(HLOOKUP(G$2,$M$2:$BL151,$J151,FALSE),"")="","",IFERROR(HLOOKUP(G$2,$M$2:$BL151,$J151,FALSE),""))</f>
        <v/>
      </c>
      <c r="J151" s="12">
        <f t="shared" si="17"/>
        <v>150</v>
      </c>
      <c r="P151" s="12" t="s">
        <v>828</v>
      </c>
      <c r="R151" s="12" t="s">
        <v>829</v>
      </c>
      <c r="S151" s="12" t="s">
        <v>271</v>
      </c>
      <c r="U151" s="12" t="s">
        <v>830</v>
      </c>
      <c r="V151" s="12" t="s">
        <v>148</v>
      </c>
      <c r="Y151" s="12" t="s">
        <v>831</v>
      </c>
    </row>
    <row r="152" spans="1:25">
      <c r="A152" s="12" t="str">
        <f t="shared" si="18"/>
        <v>A</v>
      </c>
      <c r="B152" s="12" t="str">
        <f>IF(IFERROR(HLOOKUP(B$2,$M$2:$BL152,$J152,FALSE),"")="","",IFERROR(HLOOKUP(B$2,$M$2:$BL152,$J152,FALSE),""))</f>
        <v/>
      </c>
      <c r="C152" s="12" t="str">
        <f>IF(IFERROR(HLOOKUP(C$2,$M$2:$BL152,$J152,FALSE),"")="","",IFERROR(HLOOKUP(C$2,$M$2:$BL152,$J152,FALSE),""))</f>
        <v/>
      </c>
      <c r="D152" s="12" t="str">
        <f>IF(IFERROR(HLOOKUP(D$2,$M$2:$BL152,$J152,FALSE),"")="","",IFERROR(HLOOKUP(D$2,$M$2:$BL152,$J152,FALSE),""))</f>
        <v/>
      </c>
      <c r="E152" s="12" t="str">
        <f>IF(IFERROR(HLOOKUP(E$2,$M$2:$BL152,$J152,FALSE),"")="","",IFERROR(HLOOKUP(E$2,$M$2:$BL152,$J152,FALSE),""))</f>
        <v/>
      </c>
      <c r="F152" s="12" t="str">
        <f>IF(IFERROR(HLOOKUP(F$2,$M$2:$BL152,$J152,FALSE),"")="","",IFERROR(HLOOKUP(F$2,$M$2:$BL152,$J152,FALSE),""))</f>
        <v/>
      </c>
      <c r="G152" s="12" t="str">
        <f>IF(IFERROR(HLOOKUP(G$2,$M$2:$BL152,$J152,FALSE),"")="","",IFERROR(HLOOKUP(G$2,$M$2:$BL152,$J152,FALSE),""))</f>
        <v/>
      </c>
      <c r="J152" s="12">
        <f t="shared" si="17"/>
        <v>151</v>
      </c>
      <c r="P152" s="12" t="s">
        <v>832</v>
      </c>
      <c r="R152" s="12" t="s">
        <v>829</v>
      </c>
      <c r="S152" s="12" t="s">
        <v>833</v>
      </c>
      <c r="U152" s="12" t="s">
        <v>830</v>
      </c>
      <c r="V152" s="12" t="s">
        <v>834</v>
      </c>
      <c r="Y152" s="12" t="s">
        <v>835</v>
      </c>
    </row>
    <row r="153" spans="1:25">
      <c r="A153" s="12" t="str">
        <f t="shared" si="18"/>
        <v>BBB</v>
      </c>
      <c r="B153" s="12" t="str">
        <f>IF(IFERROR(HLOOKUP(B$2,$M$2:$BL153,$J153,FALSE),"")="","",IFERROR(HLOOKUP(B$2,$M$2:$BL153,$J153,FALSE),""))</f>
        <v/>
      </c>
      <c r="C153" s="12" t="str">
        <f>IF(IFERROR(HLOOKUP(C$2,$M$2:$BL153,$J153,FALSE),"")="","",IFERROR(HLOOKUP(C$2,$M$2:$BL153,$J153,FALSE),""))</f>
        <v/>
      </c>
      <c r="D153" s="12" t="str">
        <f>IF(IFERROR(HLOOKUP(D$2,$M$2:$BL153,$J153,FALSE),"")="","",IFERROR(HLOOKUP(D$2,$M$2:$BL153,$J153,FALSE),""))</f>
        <v/>
      </c>
      <c r="E153" s="12" t="str">
        <f>IF(IFERROR(HLOOKUP(E$2,$M$2:$BL153,$J153,FALSE),"")="","",IFERROR(HLOOKUP(E$2,$M$2:$BL153,$J153,FALSE),""))</f>
        <v/>
      </c>
      <c r="F153" s="12" t="str">
        <f>IF(IFERROR(HLOOKUP(F$2,$M$2:$BL153,$J153,FALSE),"")="","",IFERROR(HLOOKUP(F$2,$M$2:$BL153,$J153,FALSE),""))</f>
        <v/>
      </c>
      <c r="G153" s="12" t="str">
        <f>IF(IFERROR(HLOOKUP(G$2,$M$2:$BL153,$J153,FALSE),"")="","",IFERROR(HLOOKUP(G$2,$M$2:$BL153,$J153,FALSE),""))</f>
        <v/>
      </c>
      <c r="J153" s="12">
        <f t="shared" si="17"/>
        <v>152</v>
      </c>
      <c r="P153" s="12" t="s">
        <v>836</v>
      </c>
      <c r="R153" s="12" t="s">
        <v>837</v>
      </c>
      <c r="S153" s="12" t="s">
        <v>261</v>
      </c>
      <c r="U153" s="12" t="s">
        <v>838</v>
      </c>
      <c r="V153" s="12" t="s">
        <v>839</v>
      </c>
      <c r="Y153" s="12" t="s">
        <v>840</v>
      </c>
    </row>
    <row r="154" spans="1:25">
      <c r="A154" s="12" t="str">
        <f t="shared" si="18"/>
        <v>BB</v>
      </c>
      <c r="B154" s="12" t="str">
        <f>IF(IFERROR(HLOOKUP(B$2,$M$2:$BL154,$J154,FALSE),"")="","",IFERROR(HLOOKUP(B$2,$M$2:$BL154,$J154,FALSE),""))</f>
        <v/>
      </c>
      <c r="C154" s="12" t="str">
        <f>IF(IFERROR(HLOOKUP(C$2,$M$2:$BL154,$J154,FALSE),"")="","",IFERROR(HLOOKUP(C$2,$M$2:$BL154,$J154,FALSE),""))</f>
        <v/>
      </c>
      <c r="D154" s="12" t="str">
        <f>IF(IFERROR(HLOOKUP(D$2,$M$2:$BL154,$J154,FALSE),"")="","",IFERROR(HLOOKUP(D$2,$M$2:$BL154,$J154,FALSE),""))</f>
        <v/>
      </c>
      <c r="E154" s="12" t="str">
        <f>IF(IFERROR(HLOOKUP(E$2,$M$2:$BL154,$J154,FALSE),"")="","",IFERROR(HLOOKUP(E$2,$M$2:$BL154,$J154,FALSE),""))</f>
        <v/>
      </c>
      <c r="F154" s="12" t="str">
        <f>IF(IFERROR(HLOOKUP(F$2,$M$2:$BL154,$J154,FALSE),"")="","",IFERROR(HLOOKUP(F$2,$M$2:$BL154,$J154,FALSE),""))</f>
        <v/>
      </c>
      <c r="G154" s="12" t="str">
        <f>IF(IFERROR(HLOOKUP(G$2,$M$2:$BL154,$J154,FALSE),"")="","",IFERROR(HLOOKUP(G$2,$M$2:$BL154,$J154,FALSE),""))</f>
        <v/>
      </c>
      <c r="J154" s="12">
        <f t="shared" si="17"/>
        <v>153</v>
      </c>
      <c r="P154" s="12" t="s">
        <v>841</v>
      </c>
      <c r="R154" s="12" t="s">
        <v>842</v>
      </c>
      <c r="S154" s="12" t="s">
        <v>843</v>
      </c>
      <c r="U154" s="12" t="s">
        <v>844</v>
      </c>
      <c r="V154" s="12" t="s">
        <v>845</v>
      </c>
      <c r="Y154" s="12" t="s">
        <v>846</v>
      </c>
    </row>
    <row r="155" spans="1:25">
      <c r="A155" s="12" t="str">
        <f t="shared" si="18"/>
        <v>B</v>
      </c>
      <c r="B155" s="12" t="str">
        <f>IF(IFERROR(HLOOKUP(B$2,$M$2:$BL155,$J155,FALSE),"")="","",IFERROR(HLOOKUP(B$2,$M$2:$BL155,$J155,FALSE),""))</f>
        <v/>
      </c>
      <c r="C155" s="12" t="str">
        <f>IF(IFERROR(HLOOKUP(C$2,$M$2:$BL155,$J155,FALSE),"")="","",IFERROR(HLOOKUP(C$2,$M$2:$BL155,$J155,FALSE),""))</f>
        <v/>
      </c>
      <c r="D155" s="12" t="str">
        <f>IF(IFERROR(HLOOKUP(D$2,$M$2:$BL155,$J155,FALSE),"")="","",IFERROR(HLOOKUP(D$2,$M$2:$BL155,$J155,FALSE),""))</f>
        <v/>
      </c>
      <c r="E155" s="12" t="str">
        <f>IF(IFERROR(HLOOKUP(E$2,$M$2:$BL155,$J155,FALSE),"")="","",IFERROR(HLOOKUP(E$2,$M$2:$BL155,$J155,FALSE),""))</f>
        <v/>
      </c>
      <c r="F155" s="12" t="str">
        <f>IF(IFERROR(HLOOKUP(F$2,$M$2:$BL155,$J155,FALSE),"")="","",IFERROR(HLOOKUP(F$2,$M$2:$BL155,$J155,FALSE),""))</f>
        <v/>
      </c>
      <c r="G155" s="12" t="str">
        <f>IF(IFERROR(HLOOKUP(G$2,$M$2:$BL155,$J155,FALSE),"")="","",IFERROR(HLOOKUP(G$2,$M$2:$BL155,$J155,FALSE),""))</f>
        <v/>
      </c>
      <c r="J155" s="12">
        <f t="shared" si="17"/>
        <v>154</v>
      </c>
      <c r="P155" s="12" t="s">
        <v>847</v>
      </c>
      <c r="R155" s="12" t="s">
        <v>848</v>
      </c>
      <c r="S155" s="12" t="s">
        <v>713</v>
      </c>
      <c r="U155" s="12" t="s">
        <v>849</v>
      </c>
      <c r="V155" s="12" t="s">
        <v>850</v>
      </c>
      <c r="Y155" s="12" t="s">
        <v>851</v>
      </c>
    </row>
    <row r="156" spans="1:25">
      <c r="A156" s="12" t="str">
        <f t="shared" si="18"/>
        <v>CCC and below</v>
      </c>
      <c r="B156" s="12" t="str">
        <f>IF(IFERROR(HLOOKUP(B$2,$M$2:$BL156,$J156,FALSE),"")="","",IFERROR(HLOOKUP(B$2,$M$2:$BL156,$J156,FALSE),""))</f>
        <v/>
      </c>
      <c r="C156" s="12" t="str">
        <f>IF(IFERROR(HLOOKUP(C$2,$M$2:$BL156,$J156,FALSE),"")="","",IFERROR(HLOOKUP(C$2,$M$2:$BL156,$J156,FALSE),""))</f>
        <v/>
      </c>
      <c r="D156" s="12" t="str">
        <f>IF(IFERROR(HLOOKUP(D$2,$M$2:$BL156,$J156,FALSE),"")="","",IFERROR(HLOOKUP(D$2,$M$2:$BL156,$J156,FALSE),""))</f>
        <v/>
      </c>
      <c r="E156" s="12" t="str">
        <f>IF(IFERROR(HLOOKUP(E$2,$M$2:$BL156,$J156,FALSE),"")="","",IFERROR(HLOOKUP(E$2,$M$2:$BL156,$J156,FALSE),""))</f>
        <v/>
      </c>
      <c r="F156" s="12" t="str">
        <f>IF(IFERROR(HLOOKUP(F$2,$M$2:$BL156,$J156,FALSE),"")="","",IFERROR(HLOOKUP(F$2,$M$2:$BL156,$J156,FALSE),""))</f>
        <v/>
      </c>
      <c r="G156" s="12" t="str">
        <f>IF(IFERROR(HLOOKUP(G$2,$M$2:$BL156,$J156,FALSE),"")="","",IFERROR(HLOOKUP(G$2,$M$2:$BL156,$J156,FALSE),""))</f>
        <v/>
      </c>
      <c r="J156" s="12">
        <f t="shared" si="17"/>
        <v>155</v>
      </c>
      <c r="P156" s="12" t="s">
        <v>847</v>
      </c>
      <c r="R156" s="12" t="s">
        <v>848</v>
      </c>
      <c r="S156" s="12" t="s">
        <v>852</v>
      </c>
      <c r="U156" s="12" t="s">
        <v>148</v>
      </c>
      <c r="V156" s="12" t="s">
        <v>853</v>
      </c>
      <c r="Y156" s="12" t="s">
        <v>148</v>
      </c>
    </row>
    <row r="157" spans="1:25" s="15" customFormat="1">
      <c r="A157" s="18" t="str">
        <f t="shared" si="18"/>
        <v>Factor 3</v>
      </c>
      <c r="B157" s="15" t="str">
        <f>IF(IFERROR(HLOOKUP(B$2,$M$2:$BL157,$J157,FALSE),"")="","",IFERROR(HLOOKUP(B$2,$M$2:$BL157,$J157,FALSE),""))</f>
        <v/>
      </c>
      <c r="C157" s="18" t="str">
        <f>IF(IFERROR(HLOOKUP(C$2,$M$2:$BL157,$J157,FALSE),"")="","",IFERROR(HLOOKUP(C$2,$M$2:$BL157,$J157,FALSE),""))</f>
        <v/>
      </c>
      <c r="D157" s="18" t="str">
        <f>IF(IFERROR(HLOOKUP(D$2,$M$2:$BL157,$J157,FALSE),"")="","",IFERROR(HLOOKUP(D$2,$M$2:$BL157,$J157,FALSE),""))</f>
        <v/>
      </c>
      <c r="E157" s="18" t="str">
        <f>IF(IFERROR(HLOOKUP(E$2,$M$2:$BL157,$J157,FALSE),"")="","",IFERROR(HLOOKUP(E$2,$M$2:$BL157,$J157,FALSE),""))</f>
        <v/>
      </c>
      <c r="F157" s="18" t="str">
        <f>IF(IFERROR(HLOOKUP(F$2,$M$2:$BL157,$J157,FALSE),"")="","",IFERROR(HLOOKUP(F$2,$M$2:$BL157,$J157,FALSE),""))</f>
        <v/>
      </c>
      <c r="G157" s="18" t="str">
        <f>IF(IFERROR(HLOOKUP(G$2,$M$2:$BL157,$J157,FALSE),"")="","",IFERROR(HLOOKUP(G$2,$M$2:$BL157,$J157,FALSE),""))</f>
        <v/>
      </c>
      <c r="H157" s="18"/>
      <c r="J157" s="15">
        <f t="shared" si="17"/>
        <v>156</v>
      </c>
      <c r="P157" s="15" t="s">
        <v>854</v>
      </c>
      <c r="R157" s="15" t="s">
        <v>855</v>
      </c>
      <c r="S157" s="15" t="s">
        <v>856</v>
      </c>
      <c r="U157" s="15" t="s">
        <v>857</v>
      </c>
      <c r="V157" s="15" t="s">
        <v>858</v>
      </c>
      <c r="Y157" s="15" t="s">
        <v>859</v>
      </c>
    </row>
    <row r="158" spans="1:25" ht="10.5" customHeight="1">
      <c r="A158" s="12" t="str">
        <f t="shared" si="18"/>
        <v>AA and above</v>
      </c>
      <c r="B158" s="12" t="str">
        <f>IF(IFERROR(HLOOKUP(B$2,$M$2:$BL158,$J158,FALSE),"")="","",IFERROR(HLOOKUP(B$2,$M$2:$BL158,$J158,FALSE),""))</f>
        <v/>
      </c>
      <c r="C158" s="12" t="str">
        <f>IF(IFERROR(HLOOKUP(C$2,$M$2:$BL158,$J158,FALSE),"")="","",IFERROR(HLOOKUP(C$2,$M$2:$BL158,$J158,FALSE),""))</f>
        <v/>
      </c>
      <c r="D158" s="12" t="str">
        <f>IF(IFERROR(HLOOKUP(D$2,$M$2:$BL158,$J158,FALSE),"")="","",IFERROR(HLOOKUP(D$2,$M$2:$BL158,$J158,FALSE),""))</f>
        <v/>
      </c>
      <c r="E158" s="12" t="str">
        <f>IF(IFERROR(HLOOKUP(E$2,$M$2:$BL158,$J158,FALSE),"")="","",IFERROR(HLOOKUP(E$2,$M$2:$BL158,$J158,FALSE),""))</f>
        <v/>
      </c>
      <c r="F158" s="12" t="str">
        <f>IF(IFERROR(HLOOKUP(F$2,$M$2:$BL158,$J158,FALSE),"")="","",IFERROR(HLOOKUP(F$2,$M$2:$BL158,$J158,FALSE),""))</f>
        <v/>
      </c>
      <c r="G158" s="12" t="str">
        <f>IF(IFERROR(HLOOKUP(G$2,$M$2:$BL158,$J158,FALSE),"")="","",IFERROR(HLOOKUP(G$2,$M$2:$BL158,$J158,FALSE),""))</f>
        <v/>
      </c>
      <c r="J158" s="12">
        <f t="shared" si="17"/>
        <v>157</v>
      </c>
      <c r="P158" s="12" t="s">
        <v>860</v>
      </c>
      <c r="R158" s="12" t="s">
        <v>861</v>
      </c>
      <c r="S158" s="12" t="s">
        <v>862</v>
      </c>
      <c r="U158" s="12" t="s">
        <v>264</v>
      </c>
      <c r="V158" s="12" t="s">
        <v>148</v>
      </c>
      <c r="Y158" s="12" t="s">
        <v>686</v>
      </c>
    </row>
    <row r="159" spans="1:25" ht="10.5" customHeight="1">
      <c r="A159" s="12" t="str">
        <f t="shared" si="18"/>
        <v>A</v>
      </c>
      <c r="B159" s="12" t="str">
        <f>IF(IFERROR(HLOOKUP(B$2,$M$2:$BL159,$J159,FALSE),"")="","",IFERROR(HLOOKUP(B$2,$M$2:$BL159,$J159,FALSE),""))</f>
        <v/>
      </c>
      <c r="C159" s="12" t="str">
        <f>IF(IFERROR(HLOOKUP(C$2,$M$2:$BL159,$J159,FALSE),"")="","",IFERROR(HLOOKUP(C$2,$M$2:$BL159,$J159,FALSE),""))</f>
        <v/>
      </c>
      <c r="D159" s="12" t="str">
        <f>IF(IFERROR(HLOOKUP(D$2,$M$2:$BL159,$J159,FALSE),"")="","",IFERROR(HLOOKUP(D$2,$M$2:$BL159,$J159,FALSE),""))</f>
        <v/>
      </c>
      <c r="E159" s="12" t="str">
        <f>IF(IFERROR(HLOOKUP(E$2,$M$2:$BL159,$J159,FALSE),"")="","",IFERROR(HLOOKUP(E$2,$M$2:$BL159,$J159,FALSE),""))</f>
        <v/>
      </c>
      <c r="F159" s="12" t="str">
        <f>IF(IFERROR(HLOOKUP(F$2,$M$2:$BL159,$J159,FALSE),"")="","",IFERROR(HLOOKUP(F$2,$M$2:$BL159,$J159,FALSE),""))</f>
        <v/>
      </c>
      <c r="G159" s="12" t="str">
        <f>IF(IFERROR(HLOOKUP(G$2,$M$2:$BL159,$J159,FALSE),"")="","",IFERROR(HLOOKUP(G$2,$M$2:$BL159,$J159,FALSE),""))</f>
        <v/>
      </c>
      <c r="J159" s="12">
        <f t="shared" si="17"/>
        <v>158</v>
      </c>
      <c r="P159" s="12" t="s">
        <v>860</v>
      </c>
      <c r="R159" s="12" t="s">
        <v>861</v>
      </c>
      <c r="S159" s="12" t="s">
        <v>862</v>
      </c>
      <c r="U159" s="12" t="s">
        <v>242</v>
      </c>
      <c r="V159" s="22" t="s">
        <v>863</v>
      </c>
      <c r="Y159" s="12" t="s">
        <v>529</v>
      </c>
    </row>
    <row r="160" spans="1:25" ht="10.5" customHeight="1">
      <c r="A160" s="12" t="str">
        <f t="shared" si="18"/>
        <v>BBB</v>
      </c>
      <c r="B160" s="12" t="str">
        <f>IF(IFERROR(HLOOKUP(B$2,$M$2:$BL160,$J160,FALSE),"")="","",IFERROR(HLOOKUP(B$2,$M$2:$BL160,$J160,FALSE),""))</f>
        <v/>
      </c>
      <c r="C160" s="12" t="str">
        <f>IF(IFERROR(HLOOKUP(C$2,$M$2:$BL160,$J160,FALSE),"")="","",IFERROR(HLOOKUP(C$2,$M$2:$BL160,$J160,FALSE),""))</f>
        <v/>
      </c>
      <c r="D160" s="12" t="str">
        <f>IF(IFERROR(HLOOKUP(D$2,$M$2:$BL160,$J160,FALSE),"")="","",IFERROR(HLOOKUP(D$2,$M$2:$BL160,$J160,FALSE),""))</f>
        <v/>
      </c>
      <c r="E160" s="12" t="str">
        <f>IF(IFERROR(HLOOKUP(E$2,$M$2:$BL160,$J160,FALSE),"")="","",IFERROR(HLOOKUP(E$2,$M$2:$BL160,$J160,FALSE),""))</f>
        <v/>
      </c>
      <c r="F160" s="12" t="str">
        <f>IF(IFERROR(HLOOKUP(F$2,$M$2:$BL160,$J160,FALSE),"")="","",IFERROR(HLOOKUP(F$2,$M$2:$BL160,$J160,FALSE),""))</f>
        <v/>
      </c>
      <c r="G160" s="12" t="str">
        <f>IF(IFERROR(HLOOKUP(G$2,$M$2:$BL160,$J160,FALSE),"")="","",IFERROR(HLOOKUP(G$2,$M$2:$BL160,$J160,FALSE),""))</f>
        <v/>
      </c>
      <c r="J160" s="12">
        <f t="shared" si="17"/>
        <v>159</v>
      </c>
      <c r="P160" s="12" t="s">
        <v>864</v>
      </c>
      <c r="R160" s="12" t="s">
        <v>865</v>
      </c>
      <c r="S160" s="12" t="s">
        <v>866</v>
      </c>
      <c r="U160" s="12" t="s">
        <v>458</v>
      </c>
      <c r="V160" s="22" t="s">
        <v>863</v>
      </c>
      <c r="Y160" s="12" t="s">
        <v>521</v>
      </c>
    </row>
    <row r="161" spans="1:25">
      <c r="A161" s="12" t="str">
        <f t="shared" si="18"/>
        <v>BB</v>
      </c>
      <c r="B161" s="12" t="str">
        <f>IF(IFERROR(HLOOKUP(B$2,$M$2:$BL161,$J161,FALSE),"")="","",IFERROR(HLOOKUP(B$2,$M$2:$BL161,$J161,FALSE),""))</f>
        <v/>
      </c>
      <c r="C161" s="12" t="str">
        <f>IF(IFERROR(HLOOKUP(C$2,$M$2:$BL161,$J161,FALSE),"")="","",IFERROR(HLOOKUP(C$2,$M$2:$BL161,$J161,FALSE),""))</f>
        <v/>
      </c>
      <c r="D161" s="12" t="str">
        <f>IF(IFERROR(HLOOKUP(D$2,$M$2:$BL161,$J161,FALSE),"")="","",IFERROR(HLOOKUP(D$2,$M$2:$BL161,$J161,FALSE),""))</f>
        <v/>
      </c>
      <c r="E161" s="12" t="str">
        <f>IF(IFERROR(HLOOKUP(E$2,$M$2:$BL161,$J161,FALSE),"")="","",IFERROR(HLOOKUP(E$2,$M$2:$BL161,$J161,FALSE),""))</f>
        <v/>
      </c>
      <c r="F161" s="12" t="str">
        <f>IF(IFERROR(HLOOKUP(F$2,$M$2:$BL161,$J161,FALSE),"")="","",IFERROR(HLOOKUP(F$2,$M$2:$BL161,$J161,FALSE),""))</f>
        <v/>
      </c>
      <c r="G161" s="12" t="str">
        <f>IF(IFERROR(HLOOKUP(G$2,$M$2:$BL161,$J161,FALSE),"")="","",IFERROR(HLOOKUP(G$2,$M$2:$BL161,$J161,FALSE),""))</f>
        <v/>
      </c>
      <c r="J161" s="12">
        <f t="shared" si="17"/>
        <v>160</v>
      </c>
      <c r="P161" s="12" t="s">
        <v>867</v>
      </c>
      <c r="R161" s="12" t="s">
        <v>868</v>
      </c>
      <c r="S161" s="12" t="s">
        <v>869</v>
      </c>
      <c r="U161" s="12" t="s">
        <v>468</v>
      </c>
      <c r="V161" s="12" t="s">
        <v>870</v>
      </c>
      <c r="Y161" s="12" t="s">
        <v>660</v>
      </c>
    </row>
    <row r="162" spans="1:25">
      <c r="A162" s="12" t="str">
        <f t="shared" si="18"/>
        <v>B</v>
      </c>
      <c r="B162" s="12" t="str">
        <f>IF(IFERROR(HLOOKUP(B$2,$M$2:$BL162,$J162,FALSE),"")="","",IFERROR(HLOOKUP(B$2,$M$2:$BL162,$J162,FALSE),""))</f>
        <v/>
      </c>
      <c r="C162" s="12" t="str">
        <f>IF(IFERROR(HLOOKUP(C$2,$M$2:$BL162,$J162,FALSE),"")="","",IFERROR(HLOOKUP(C$2,$M$2:$BL162,$J162,FALSE),""))</f>
        <v/>
      </c>
      <c r="D162" s="12" t="str">
        <f>IF(IFERROR(HLOOKUP(D$2,$M$2:$BL162,$J162,FALSE),"")="","",IFERROR(HLOOKUP(D$2,$M$2:$BL162,$J162,FALSE),""))</f>
        <v/>
      </c>
      <c r="E162" s="12" t="str">
        <f>IF(IFERROR(HLOOKUP(E$2,$M$2:$BL162,$J162,FALSE),"")="","",IFERROR(HLOOKUP(E$2,$M$2:$BL162,$J162,FALSE),""))</f>
        <v/>
      </c>
      <c r="F162" s="12" t="str">
        <f>IF(IFERROR(HLOOKUP(F$2,$M$2:$BL162,$J162,FALSE),"")="","",IFERROR(HLOOKUP(F$2,$M$2:$BL162,$J162,FALSE),""))</f>
        <v/>
      </c>
      <c r="G162" s="12" t="str">
        <f>IF(IFERROR(HLOOKUP(G$2,$M$2:$BL162,$J162,FALSE),"")="","",IFERROR(HLOOKUP(G$2,$M$2:$BL162,$J162,FALSE),""))</f>
        <v/>
      </c>
      <c r="J162" s="12">
        <f t="shared" si="17"/>
        <v>161</v>
      </c>
      <c r="P162" s="12" t="s">
        <v>871</v>
      </c>
      <c r="R162" s="12" t="s">
        <v>872</v>
      </c>
      <c r="S162" s="12" t="s">
        <v>873</v>
      </c>
      <c r="U162" s="12" t="s">
        <v>874</v>
      </c>
      <c r="V162" s="12" t="s">
        <v>870</v>
      </c>
      <c r="Y162" s="12" t="s">
        <v>233</v>
      </c>
    </row>
    <row r="163" spans="1:25">
      <c r="A163" s="12" t="str">
        <f t="shared" si="18"/>
        <v>CCC and below</v>
      </c>
      <c r="B163" s="12" t="str">
        <f>IF(IFERROR(HLOOKUP(B$2,$M$2:$BL163,$J163,FALSE),"")="","",IFERROR(HLOOKUP(B$2,$M$2:$BL163,$J163,FALSE),""))</f>
        <v/>
      </c>
      <c r="C163" s="12" t="str">
        <f>IF(IFERROR(HLOOKUP(C$2,$M$2:$BL163,$J163,FALSE),"")="","",IFERROR(HLOOKUP(C$2,$M$2:$BL163,$J163,FALSE),""))</f>
        <v/>
      </c>
      <c r="D163" s="12" t="str">
        <f>IF(IFERROR(HLOOKUP(D$2,$M$2:$BL163,$J163,FALSE),"")="","",IFERROR(HLOOKUP(D$2,$M$2:$BL163,$J163,FALSE),""))</f>
        <v/>
      </c>
      <c r="E163" s="12" t="str">
        <f>IF(IFERROR(HLOOKUP(E$2,$M$2:$BL163,$J163,FALSE),"")="","",IFERROR(HLOOKUP(E$2,$M$2:$BL163,$J163,FALSE),""))</f>
        <v/>
      </c>
      <c r="F163" s="12" t="str">
        <f>IF(IFERROR(HLOOKUP(F$2,$M$2:$BL163,$J163,FALSE),"")="","",IFERROR(HLOOKUP(F$2,$M$2:$BL163,$J163,FALSE),""))</f>
        <v/>
      </c>
      <c r="G163" s="12" t="str">
        <f>IF(IFERROR(HLOOKUP(G$2,$M$2:$BL163,$J163,FALSE),"")="","",IFERROR(HLOOKUP(G$2,$M$2:$BL163,$J163,FALSE),""))</f>
        <v/>
      </c>
      <c r="J163" s="12">
        <f t="shared" si="17"/>
        <v>162</v>
      </c>
      <c r="P163" s="12" t="s">
        <v>875</v>
      </c>
      <c r="R163" s="12" t="s">
        <v>876</v>
      </c>
      <c r="S163" s="12" t="s">
        <v>877</v>
      </c>
      <c r="U163" s="12" t="s">
        <v>148</v>
      </c>
      <c r="V163" s="12" t="s">
        <v>878</v>
      </c>
      <c r="Y163" s="12" t="s">
        <v>148</v>
      </c>
    </row>
    <row r="164" spans="1:25" s="15" customFormat="1">
      <c r="A164" s="18" t="str">
        <f t="shared" si="18"/>
        <v>Factor 4</v>
      </c>
      <c r="B164" s="15" t="str">
        <f>IF(IFERROR(HLOOKUP(B$2,$M$2:$BL164,$J164,FALSE),"")="","",IFERROR(HLOOKUP(B$2,$M$2:$BL164,$J164,FALSE),""))</f>
        <v/>
      </c>
      <c r="C164" s="18" t="str">
        <f>IF(IFERROR(HLOOKUP(C$2,$M$2:$BL164,$J164,FALSE),"")="","",IFERROR(HLOOKUP(C$2,$M$2:$BL164,$J164,FALSE),""))</f>
        <v/>
      </c>
      <c r="D164" s="18" t="str">
        <f>IF(IFERROR(HLOOKUP(D$2,$M$2:$BL164,$J164,FALSE),"")="","",IFERROR(HLOOKUP(D$2,$M$2:$BL164,$J164,FALSE),""))</f>
        <v/>
      </c>
      <c r="E164" s="18" t="str">
        <f>IF(IFERROR(HLOOKUP(E$2,$M$2:$BL164,$J164,FALSE),"")="","",IFERROR(HLOOKUP(E$2,$M$2:$BL164,$J164,FALSE),""))</f>
        <v/>
      </c>
      <c r="F164" s="18" t="str">
        <f>IF(IFERROR(HLOOKUP(F$2,$M$2:$BL164,$J164,FALSE),"")="","",IFERROR(HLOOKUP(F$2,$M$2:$BL164,$J164,FALSE),""))</f>
        <v/>
      </c>
      <c r="G164" s="18" t="str">
        <f>IF(IFERROR(HLOOKUP(G$2,$M$2:$BL164,$J164,FALSE),"")="","",IFERROR(HLOOKUP(G$2,$M$2:$BL164,$J164,FALSE),""))</f>
        <v/>
      </c>
      <c r="H164" s="18"/>
      <c r="J164" s="15">
        <f t="shared" si="17"/>
        <v>163</v>
      </c>
      <c r="S164" s="15" t="s">
        <v>879</v>
      </c>
      <c r="U164" s="15" t="s">
        <v>880</v>
      </c>
      <c r="V164" s="15" t="s">
        <v>881</v>
      </c>
      <c r="Y164" s="15" t="s">
        <v>882</v>
      </c>
    </row>
    <row r="165" spans="1:25" ht="10.5" customHeight="1">
      <c r="A165" s="12" t="str">
        <f t="shared" si="18"/>
        <v>AA and above</v>
      </c>
      <c r="B165" s="12" t="str">
        <f>IF(IFERROR(HLOOKUP(B$2,$M$2:$BL165,$J165,FALSE),"")="","",IFERROR(HLOOKUP(B$2,$M$2:$BL165,$J165,FALSE),""))</f>
        <v/>
      </c>
      <c r="C165" s="12" t="str">
        <f>IF(IFERROR(HLOOKUP(C$2,$M$2:$BL165,$J165,FALSE),"")="","",IFERROR(HLOOKUP(C$2,$M$2:$BL165,$J165,FALSE),""))</f>
        <v/>
      </c>
      <c r="D165" s="12" t="str">
        <f>IF(IFERROR(HLOOKUP(D$2,$M$2:$BL165,$J165,FALSE),"")="","",IFERROR(HLOOKUP(D$2,$M$2:$BL165,$J165,FALSE),""))</f>
        <v/>
      </c>
      <c r="E165" s="12" t="str">
        <f>IF(IFERROR(HLOOKUP(E$2,$M$2:$BL165,$J165,FALSE),"")="","",IFERROR(HLOOKUP(E$2,$M$2:$BL165,$J165,FALSE),""))</f>
        <v/>
      </c>
      <c r="F165" s="12" t="str">
        <f>IF(IFERROR(HLOOKUP(F$2,$M$2:$BL165,$J165,FALSE),"")="","",IFERROR(HLOOKUP(F$2,$M$2:$BL165,$J165,FALSE),""))</f>
        <v/>
      </c>
      <c r="G165" s="12" t="str">
        <f>IF(IFERROR(HLOOKUP(G$2,$M$2:$BL165,$J165,FALSE),"")="","",IFERROR(HLOOKUP(G$2,$M$2:$BL165,$J165,FALSE),""))</f>
        <v/>
      </c>
      <c r="J165" s="12">
        <f t="shared" si="17"/>
        <v>164</v>
      </c>
      <c r="S165" s="12" t="s">
        <v>883</v>
      </c>
      <c r="U165" s="12" t="s">
        <v>849</v>
      </c>
      <c r="V165" s="12" t="s">
        <v>148</v>
      </c>
      <c r="Y165" s="12" t="s">
        <v>884</v>
      </c>
    </row>
    <row r="166" spans="1:25" ht="10.5" customHeight="1">
      <c r="A166" s="12" t="str">
        <f t="shared" si="18"/>
        <v>A</v>
      </c>
      <c r="B166" s="12" t="str">
        <f>IF(IFERROR(HLOOKUP(B$2,$M$2:$BL166,$J166,FALSE),"")="","",IFERROR(HLOOKUP(B$2,$M$2:$BL166,$J166,FALSE),""))</f>
        <v/>
      </c>
      <c r="C166" s="12" t="str">
        <f>IF(IFERROR(HLOOKUP(C$2,$M$2:$BL166,$J166,FALSE),"")="","",IFERROR(HLOOKUP(C$2,$M$2:$BL166,$J166,FALSE),""))</f>
        <v/>
      </c>
      <c r="D166" s="12" t="str">
        <f>IF(IFERROR(HLOOKUP(D$2,$M$2:$BL166,$J166,FALSE),"")="","",IFERROR(HLOOKUP(D$2,$M$2:$BL166,$J166,FALSE),""))</f>
        <v/>
      </c>
      <c r="E166" s="12" t="str">
        <f>IF(IFERROR(HLOOKUP(E$2,$M$2:$BL166,$J166,FALSE),"")="","",IFERROR(HLOOKUP(E$2,$M$2:$BL166,$J166,FALSE),""))</f>
        <v/>
      </c>
      <c r="F166" s="12" t="str">
        <f>IF(IFERROR(HLOOKUP(F$2,$M$2:$BL166,$J166,FALSE),"")="","",IFERROR(HLOOKUP(F$2,$M$2:$BL166,$J166,FALSE),""))</f>
        <v/>
      </c>
      <c r="G166" s="12" t="str">
        <f>IF(IFERROR(HLOOKUP(G$2,$M$2:$BL166,$J166,FALSE),"")="","",IFERROR(HLOOKUP(G$2,$M$2:$BL166,$J166,FALSE),""))</f>
        <v/>
      </c>
      <c r="J166" s="12">
        <f t="shared" si="17"/>
        <v>165</v>
      </c>
      <c r="S166" s="12" t="s">
        <v>885</v>
      </c>
      <c r="U166" s="12" t="s">
        <v>468</v>
      </c>
      <c r="V166" s="22" t="s">
        <v>886</v>
      </c>
      <c r="Y166" s="12" t="s">
        <v>884</v>
      </c>
    </row>
    <row r="167" spans="1:25" ht="10.5" customHeight="1">
      <c r="A167" s="12" t="str">
        <f t="shared" si="18"/>
        <v>BBB</v>
      </c>
      <c r="B167" s="12" t="str">
        <f>IF(IFERROR(HLOOKUP(B$2,$M$2:$BL167,$J167,FALSE),"")="","",IFERROR(HLOOKUP(B$2,$M$2:$BL167,$J167,FALSE),""))</f>
        <v/>
      </c>
      <c r="C167" s="12" t="str">
        <f>IF(IFERROR(HLOOKUP(C$2,$M$2:$BL167,$J167,FALSE),"")="","",IFERROR(HLOOKUP(C$2,$M$2:$BL167,$J167,FALSE),""))</f>
        <v/>
      </c>
      <c r="D167" s="12" t="str">
        <f>IF(IFERROR(HLOOKUP(D$2,$M$2:$BL167,$J167,FALSE),"")="","",IFERROR(HLOOKUP(D$2,$M$2:$BL167,$J167,FALSE),""))</f>
        <v/>
      </c>
      <c r="E167" s="12" t="str">
        <f>IF(IFERROR(HLOOKUP(E$2,$M$2:$BL167,$J167,FALSE),"")="","",IFERROR(HLOOKUP(E$2,$M$2:$BL167,$J167,FALSE),""))</f>
        <v/>
      </c>
      <c r="F167" s="12" t="str">
        <f>IF(IFERROR(HLOOKUP(F$2,$M$2:$BL167,$J167,FALSE),"")="","",IFERROR(HLOOKUP(F$2,$M$2:$BL167,$J167,FALSE),""))</f>
        <v/>
      </c>
      <c r="G167" s="12" t="str">
        <f>IF(IFERROR(HLOOKUP(G$2,$M$2:$BL167,$J167,FALSE),"")="","",IFERROR(HLOOKUP(G$2,$M$2:$BL167,$J167,FALSE),""))</f>
        <v/>
      </c>
      <c r="J167" s="12">
        <f t="shared" si="17"/>
        <v>166</v>
      </c>
      <c r="S167" s="12" t="s">
        <v>887</v>
      </c>
      <c r="U167" s="12" t="s">
        <v>888</v>
      </c>
      <c r="V167" s="22" t="s">
        <v>889</v>
      </c>
      <c r="Y167" s="12" t="s">
        <v>890</v>
      </c>
    </row>
    <row r="168" spans="1:25" ht="10.5" customHeight="1">
      <c r="A168" s="12" t="str">
        <f t="shared" si="18"/>
        <v>BB</v>
      </c>
      <c r="B168" s="12" t="str">
        <f>IF(IFERROR(HLOOKUP(B$2,$M$2:$BL168,$J168,FALSE),"")="","",IFERROR(HLOOKUP(B$2,$M$2:$BL168,$J168,FALSE),""))</f>
        <v/>
      </c>
      <c r="C168" s="12" t="str">
        <f>IF(IFERROR(HLOOKUP(C$2,$M$2:$BL168,$J168,FALSE),"")="","",IFERROR(HLOOKUP(C$2,$M$2:$BL168,$J168,FALSE),""))</f>
        <v/>
      </c>
      <c r="D168" s="12" t="str">
        <f>IF(IFERROR(HLOOKUP(D$2,$M$2:$BL168,$J168,FALSE),"")="","",IFERROR(HLOOKUP(D$2,$M$2:$BL168,$J168,FALSE),""))</f>
        <v/>
      </c>
      <c r="E168" s="12" t="str">
        <f>IF(IFERROR(HLOOKUP(E$2,$M$2:$BL168,$J168,FALSE),"")="","",IFERROR(HLOOKUP(E$2,$M$2:$BL168,$J168,FALSE),""))</f>
        <v/>
      </c>
      <c r="F168" s="12" t="str">
        <f>IF(IFERROR(HLOOKUP(F$2,$M$2:$BL168,$J168,FALSE),"")="","",IFERROR(HLOOKUP(F$2,$M$2:$BL168,$J168,FALSE),""))</f>
        <v/>
      </c>
      <c r="G168" s="12" t="str">
        <f>IF(IFERROR(HLOOKUP(G$2,$M$2:$BL168,$J168,FALSE),"")="","",IFERROR(HLOOKUP(G$2,$M$2:$BL168,$J168,FALSE),""))</f>
        <v/>
      </c>
      <c r="J168" s="12">
        <f t="shared" si="17"/>
        <v>167</v>
      </c>
      <c r="S168" s="12" t="s">
        <v>891</v>
      </c>
      <c r="U168" s="12" t="s">
        <v>892</v>
      </c>
      <c r="V168" s="22" t="s">
        <v>893</v>
      </c>
      <c r="Y168" s="12" t="s">
        <v>892</v>
      </c>
    </row>
    <row r="169" spans="1:25" ht="10.5" customHeight="1">
      <c r="A169" s="12" t="str">
        <f t="shared" si="18"/>
        <v>B</v>
      </c>
      <c r="B169" s="12" t="str">
        <f>IF(IFERROR(HLOOKUP(B$2,$M$2:$BL169,$J169,FALSE),"")="","",IFERROR(HLOOKUP(B$2,$M$2:$BL169,$J169,FALSE),""))</f>
        <v/>
      </c>
      <c r="C169" s="12" t="str">
        <f>IF(IFERROR(HLOOKUP(C$2,$M$2:$BL169,$J169,FALSE),"")="","",IFERROR(HLOOKUP(C$2,$M$2:$BL169,$J169,FALSE),""))</f>
        <v/>
      </c>
      <c r="D169" s="12" t="str">
        <f>IF(IFERROR(HLOOKUP(D$2,$M$2:$BL169,$J169,FALSE),"")="","",IFERROR(HLOOKUP(D$2,$M$2:$BL169,$J169,FALSE),""))</f>
        <v/>
      </c>
      <c r="E169" s="12" t="str">
        <f>IF(IFERROR(HLOOKUP(E$2,$M$2:$BL169,$J169,FALSE),"")="","",IFERROR(HLOOKUP(E$2,$M$2:$BL169,$J169,FALSE),""))</f>
        <v/>
      </c>
      <c r="F169" s="12" t="str">
        <f>IF(IFERROR(HLOOKUP(F$2,$M$2:$BL169,$J169,FALSE),"")="","",IFERROR(HLOOKUP(F$2,$M$2:$BL169,$J169,FALSE),""))</f>
        <v/>
      </c>
      <c r="G169" s="12" t="str">
        <f>IF(IFERROR(HLOOKUP(G$2,$M$2:$BL169,$J169,FALSE),"")="","",IFERROR(HLOOKUP(G$2,$M$2:$BL169,$J169,FALSE),""))</f>
        <v/>
      </c>
      <c r="J169" s="12">
        <f t="shared" si="17"/>
        <v>168</v>
      </c>
      <c r="S169" s="12" t="s">
        <v>894</v>
      </c>
      <c r="U169" s="12" t="s">
        <v>830</v>
      </c>
      <c r="V169" s="22" t="s">
        <v>895</v>
      </c>
      <c r="Y169" s="12" t="s">
        <v>896</v>
      </c>
    </row>
    <row r="170" spans="1:25" ht="10.5" customHeight="1">
      <c r="A170" s="12" t="str">
        <f t="shared" si="18"/>
        <v>CCC and below</v>
      </c>
      <c r="B170" s="12" t="str">
        <f>IF(IFERROR(HLOOKUP(B$2,$M$2:$BL170,$J170,FALSE),"")="","",IFERROR(HLOOKUP(B$2,$M$2:$BL170,$J170,FALSE),""))</f>
        <v/>
      </c>
      <c r="C170" s="12" t="str">
        <f>IF(IFERROR(HLOOKUP(C$2,$M$2:$BL170,$J170,FALSE),"")="","",IFERROR(HLOOKUP(C$2,$M$2:$BL170,$J170,FALSE),""))</f>
        <v/>
      </c>
      <c r="D170" s="12" t="str">
        <f>IF(IFERROR(HLOOKUP(D$2,$M$2:$BL170,$J170,FALSE),"")="","",IFERROR(HLOOKUP(D$2,$M$2:$BL170,$J170,FALSE),""))</f>
        <v/>
      </c>
      <c r="E170" s="12" t="str">
        <f>IF(IFERROR(HLOOKUP(E$2,$M$2:$BL170,$J170,FALSE),"")="","",IFERROR(HLOOKUP(E$2,$M$2:$BL170,$J170,FALSE),""))</f>
        <v/>
      </c>
      <c r="F170" s="12" t="str">
        <f>IF(IFERROR(HLOOKUP(F$2,$M$2:$BL170,$J170,FALSE),"")="","",IFERROR(HLOOKUP(F$2,$M$2:$BL170,$J170,FALSE),""))</f>
        <v/>
      </c>
      <c r="G170" s="12" t="str">
        <f>IF(IFERROR(HLOOKUP(G$2,$M$2:$BL170,$J170,FALSE),"")="","",IFERROR(HLOOKUP(G$2,$M$2:$BL170,$J170,FALSE),""))</f>
        <v/>
      </c>
      <c r="J170" s="12">
        <f t="shared" si="17"/>
        <v>169</v>
      </c>
      <c r="S170" s="12" t="s">
        <v>894</v>
      </c>
      <c r="U170" s="12" t="s">
        <v>148</v>
      </c>
      <c r="V170" s="12" t="s">
        <v>897</v>
      </c>
      <c r="Y170" s="12" t="s">
        <v>148</v>
      </c>
    </row>
    <row r="171" spans="1:25" s="15" customFormat="1">
      <c r="A171" s="18" t="str">
        <f t="shared" si="18"/>
        <v>Factor 5</v>
      </c>
      <c r="B171" s="15" t="str">
        <f>IF(IFERROR(HLOOKUP(B$2,$M$2:$BL171,$J171,FALSE),"")="","",IFERROR(HLOOKUP(B$2,$M$2:$BL171,$J171,FALSE),""))</f>
        <v/>
      </c>
      <c r="C171" s="18" t="str">
        <f>IF(IFERROR(HLOOKUP(C$2,$M$2:$BL171,$J171,FALSE),"")="","",IFERROR(HLOOKUP(C$2,$M$2:$BL171,$J171,FALSE),""))</f>
        <v/>
      </c>
      <c r="D171" s="18" t="str">
        <f>IF(IFERROR(HLOOKUP(D$2,$M$2:$BL171,$J171,FALSE),"")="","",IFERROR(HLOOKUP(D$2,$M$2:$BL171,$J171,FALSE),""))</f>
        <v/>
      </c>
      <c r="E171" s="18" t="str">
        <f>IF(IFERROR(HLOOKUP(E$2,$M$2:$BL171,$J171,FALSE),"")="","",IFERROR(HLOOKUP(E$2,$M$2:$BL171,$J171,FALSE),""))</f>
        <v/>
      </c>
      <c r="F171" s="18" t="str">
        <f>IF(IFERROR(HLOOKUP(F$2,$M$2:$BL171,$J171,FALSE),"")="","",IFERROR(HLOOKUP(F$2,$M$2:$BL171,$J171,FALSE),""))</f>
        <v/>
      </c>
      <c r="G171" s="18" t="str">
        <f>IF(IFERROR(HLOOKUP(G$2,$M$2:$BL171,$J171,FALSE),"")="","",IFERROR(HLOOKUP(G$2,$M$2:$BL171,$J171,FALSE),""))</f>
        <v/>
      </c>
      <c r="H171" s="18"/>
      <c r="J171" s="15">
        <f t="shared" si="17"/>
        <v>170</v>
      </c>
      <c r="S171" s="15" t="s">
        <v>898</v>
      </c>
    </row>
    <row r="172" spans="1:25">
      <c r="A172" s="12" t="str">
        <f t="shared" si="18"/>
        <v>AA and above</v>
      </c>
      <c r="B172" s="12" t="str">
        <f>IF(IFERROR(HLOOKUP(B$2,$M$2:$BL172,$J172,FALSE),"")="","",IFERROR(HLOOKUP(B$2,$M$2:$BL172,$J172,FALSE),""))</f>
        <v/>
      </c>
      <c r="C172" s="12" t="str">
        <f>IF(IFERROR(HLOOKUP(C$2,$M$2:$BL172,$J172,FALSE),"")="","",IFERROR(HLOOKUP(C$2,$M$2:$BL172,$J172,FALSE),""))</f>
        <v/>
      </c>
      <c r="D172" s="12" t="str">
        <f>IF(IFERROR(HLOOKUP(D$2,$M$2:$BL172,$J172,FALSE),"")="","",IFERROR(HLOOKUP(D$2,$M$2:$BL172,$J172,FALSE),""))</f>
        <v/>
      </c>
      <c r="E172" s="12" t="str">
        <f>IF(IFERROR(HLOOKUP(E$2,$M$2:$BL172,$J172,FALSE),"")="","",IFERROR(HLOOKUP(E$2,$M$2:$BL172,$J172,FALSE),""))</f>
        <v/>
      </c>
      <c r="F172" s="12" t="str">
        <f>IF(IFERROR(HLOOKUP(F$2,$M$2:$BL172,$J172,FALSE),"")="","",IFERROR(HLOOKUP(F$2,$M$2:$BL172,$J172,FALSE),""))</f>
        <v/>
      </c>
      <c r="G172" s="12" t="str">
        <f>IF(IFERROR(HLOOKUP(G$2,$M$2:$BL172,$J172,FALSE),"")="","",IFERROR(HLOOKUP(G$2,$M$2:$BL172,$J172,FALSE),""))</f>
        <v/>
      </c>
      <c r="J172" s="12">
        <f t="shared" si="17"/>
        <v>171</v>
      </c>
      <c r="S172" s="12" t="s">
        <v>899</v>
      </c>
    </row>
    <row r="173" spans="1:25">
      <c r="A173" s="12" t="str">
        <f t="shared" si="18"/>
        <v>A</v>
      </c>
      <c r="B173" s="12" t="str">
        <f>IF(IFERROR(HLOOKUP(B$2,$M$2:$BL173,$J173,FALSE),"")="","",IFERROR(HLOOKUP(B$2,$M$2:$BL173,$J173,FALSE),""))</f>
        <v/>
      </c>
      <c r="C173" s="12" t="str">
        <f>IF(IFERROR(HLOOKUP(C$2,$M$2:$BL173,$J173,FALSE),"")="","",IFERROR(HLOOKUP(C$2,$M$2:$BL173,$J173,FALSE),""))</f>
        <v/>
      </c>
      <c r="D173" s="12" t="str">
        <f>IF(IFERROR(HLOOKUP(D$2,$M$2:$BL173,$J173,FALSE),"")="","",IFERROR(HLOOKUP(D$2,$M$2:$BL173,$J173,FALSE),""))</f>
        <v/>
      </c>
      <c r="E173" s="12" t="str">
        <f>IF(IFERROR(HLOOKUP(E$2,$M$2:$BL173,$J173,FALSE),"")="","",IFERROR(HLOOKUP(E$2,$M$2:$BL173,$J173,FALSE),""))</f>
        <v/>
      </c>
      <c r="F173" s="12" t="str">
        <f>IF(IFERROR(HLOOKUP(F$2,$M$2:$BL173,$J173,FALSE),"")="","",IFERROR(HLOOKUP(F$2,$M$2:$BL173,$J173,FALSE),""))</f>
        <v/>
      </c>
      <c r="G173" s="12" t="str">
        <f>IF(IFERROR(HLOOKUP(G$2,$M$2:$BL173,$J173,FALSE),"")="","",IFERROR(HLOOKUP(G$2,$M$2:$BL173,$J173,FALSE),""))</f>
        <v/>
      </c>
      <c r="J173" s="12">
        <f t="shared" si="17"/>
        <v>172</v>
      </c>
      <c r="S173" s="12" t="s">
        <v>899</v>
      </c>
    </row>
    <row r="174" spans="1:25">
      <c r="A174" s="12" t="str">
        <f t="shared" si="18"/>
        <v>BBB</v>
      </c>
      <c r="B174" s="12" t="str">
        <f>IF(IFERROR(HLOOKUP(B$2,$M$2:$BL174,$J174,FALSE),"")="","",IFERROR(HLOOKUP(B$2,$M$2:$BL174,$J174,FALSE),""))</f>
        <v/>
      </c>
      <c r="C174" s="12" t="str">
        <f>IF(IFERROR(HLOOKUP(C$2,$M$2:$BL174,$J174,FALSE),"")="","",IFERROR(HLOOKUP(C$2,$M$2:$BL174,$J174,FALSE),""))</f>
        <v/>
      </c>
      <c r="D174" s="12" t="str">
        <f>IF(IFERROR(HLOOKUP(D$2,$M$2:$BL174,$J174,FALSE),"")="","",IFERROR(HLOOKUP(D$2,$M$2:$BL174,$J174,FALSE),""))</f>
        <v/>
      </c>
      <c r="E174" s="12" t="str">
        <f>IF(IFERROR(HLOOKUP(E$2,$M$2:$BL174,$J174,FALSE),"")="","",IFERROR(HLOOKUP(E$2,$M$2:$BL174,$J174,FALSE),""))</f>
        <v/>
      </c>
      <c r="F174" s="12" t="str">
        <f>IF(IFERROR(HLOOKUP(F$2,$M$2:$BL174,$J174,FALSE),"")="","",IFERROR(HLOOKUP(F$2,$M$2:$BL174,$J174,FALSE),""))</f>
        <v/>
      </c>
      <c r="G174" s="12" t="str">
        <f>IF(IFERROR(HLOOKUP(G$2,$M$2:$BL174,$J174,FALSE),"")="","",IFERROR(HLOOKUP(G$2,$M$2:$BL174,$J174,FALSE),""))</f>
        <v/>
      </c>
      <c r="J174" s="12">
        <f t="shared" si="17"/>
        <v>173</v>
      </c>
      <c r="S174" s="12" t="s">
        <v>900</v>
      </c>
    </row>
    <row r="175" spans="1:25">
      <c r="A175" s="12" t="str">
        <f t="shared" si="18"/>
        <v>BB</v>
      </c>
      <c r="B175" s="12" t="str">
        <f>IF(IFERROR(HLOOKUP(B$2,$M$2:$BL175,$J175,FALSE),"")="","",IFERROR(HLOOKUP(B$2,$M$2:$BL175,$J175,FALSE),""))</f>
        <v/>
      </c>
      <c r="C175" s="12" t="str">
        <f>IF(IFERROR(HLOOKUP(C$2,$M$2:$BL175,$J175,FALSE),"")="","",IFERROR(HLOOKUP(C$2,$M$2:$BL175,$J175,FALSE),""))</f>
        <v/>
      </c>
      <c r="D175" s="12" t="str">
        <f>IF(IFERROR(HLOOKUP(D$2,$M$2:$BL175,$J175,FALSE),"")="","",IFERROR(HLOOKUP(D$2,$M$2:$BL175,$J175,FALSE),""))</f>
        <v/>
      </c>
      <c r="E175" s="12" t="str">
        <f>IF(IFERROR(HLOOKUP(E$2,$M$2:$BL175,$J175,FALSE),"")="","",IFERROR(HLOOKUP(E$2,$M$2:$BL175,$J175,FALSE),""))</f>
        <v/>
      </c>
      <c r="F175" s="12" t="str">
        <f>IF(IFERROR(HLOOKUP(F$2,$M$2:$BL175,$J175,FALSE),"")="","",IFERROR(HLOOKUP(F$2,$M$2:$BL175,$J175,FALSE),""))</f>
        <v/>
      </c>
      <c r="G175" s="12" t="str">
        <f>IF(IFERROR(HLOOKUP(G$2,$M$2:$BL175,$J175,FALSE),"")="","",IFERROR(HLOOKUP(G$2,$M$2:$BL175,$J175,FALSE),""))</f>
        <v/>
      </c>
      <c r="J175" s="12">
        <f t="shared" si="17"/>
        <v>174</v>
      </c>
      <c r="S175" s="12" t="s">
        <v>901</v>
      </c>
    </row>
    <row r="176" spans="1:25">
      <c r="A176" s="12" t="str">
        <f t="shared" si="18"/>
        <v>B</v>
      </c>
      <c r="B176" s="12" t="str">
        <f>IF(IFERROR(HLOOKUP(B$2,$M$2:$BL176,$J176,FALSE),"")="","",IFERROR(HLOOKUP(B$2,$M$2:$BL176,$J176,FALSE),""))</f>
        <v/>
      </c>
      <c r="C176" s="12" t="str">
        <f>IF(IFERROR(HLOOKUP(C$2,$M$2:$BL176,$J176,FALSE),"")="","",IFERROR(HLOOKUP(C$2,$M$2:$BL176,$J176,FALSE),""))</f>
        <v/>
      </c>
      <c r="D176" s="12" t="str">
        <f>IF(IFERROR(HLOOKUP(D$2,$M$2:$BL176,$J176,FALSE),"")="","",IFERROR(HLOOKUP(D$2,$M$2:$BL176,$J176,FALSE),""))</f>
        <v/>
      </c>
      <c r="E176" s="12" t="str">
        <f>IF(IFERROR(HLOOKUP(E$2,$M$2:$BL176,$J176,FALSE),"")="","",IFERROR(HLOOKUP(E$2,$M$2:$BL176,$J176,FALSE),""))</f>
        <v/>
      </c>
      <c r="F176" s="12" t="str">
        <f>IF(IFERROR(HLOOKUP(F$2,$M$2:$BL176,$J176,FALSE),"")="","",IFERROR(HLOOKUP(F$2,$M$2:$BL176,$J176,FALSE),""))</f>
        <v/>
      </c>
      <c r="G176" s="12" t="str">
        <f>IF(IFERROR(HLOOKUP(G$2,$M$2:$BL176,$J176,FALSE),"")="","",IFERROR(HLOOKUP(G$2,$M$2:$BL176,$J176,FALSE),""))</f>
        <v/>
      </c>
      <c r="J176" s="12">
        <f t="shared" si="17"/>
        <v>175</v>
      </c>
      <c r="S176" s="12" t="s">
        <v>902</v>
      </c>
    </row>
    <row r="177" spans="1:25">
      <c r="A177" s="12" t="str">
        <f t="shared" si="18"/>
        <v>CCC and below</v>
      </c>
      <c r="B177" s="12" t="str">
        <f>IF(IFERROR(HLOOKUP(B$2,$M$2:$BL177,$J177,FALSE),"")="","",IFERROR(HLOOKUP(B$2,$M$2:$BL177,$J177,FALSE),""))</f>
        <v/>
      </c>
      <c r="C177" s="12" t="str">
        <f>IF(IFERROR(HLOOKUP(C$2,$M$2:$BL177,$J177,FALSE),"")="","",IFERROR(HLOOKUP(C$2,$M$2:$BL177,$J177,FALSE),""))</f>
        <v/>
      </c>
      <c r="D177" s="12" t="str">
        <f>IF(IFERROR(HLOOKUP(D$2,$M$2:$BL177,$J177,FALSE),"")="","",IFERROR(HLOOKUP(D$2,$M$2:$BL177,$J177,FALSE),""))</f>
        <v/>
      </c>
      <c r="E177" s="12" t="str">
        <f>IF(IFERROR(HLOOKUP(E$2,$M$2:$BL177,$J177,FALSE),"")="","",IFERROR(HLOOKUP(E$2,$M$2:$BL177,$J177,FALSE),""))</f>
        <v/>
      </c>
      <c r="F177" s="12" t="str">
        <f>IF(IFERROR(HLOOKUP(F$2,$M$2:$BL177,$J177,FALSE),"")="","",IFERROR(HLOOKUP(F$2,$M$2:$BL177,$J177,FALSE),""))</f>
        <v/>
      </c>
      <c r="G177" s="12" t="str">
        <f>IF(IFERROR(HLOOKUP(G$2,$M$2:$BL177,$J177,FALSE),"")="","",IFERROR(HLOOKUP(G$2,$M$2:$BL177,$J177,FALSE),""))</f>
        <v/>
      </c>
      <c r="J177" s="12">
        <f t="shared" si="17"/>
        <v>176</v>
      </c>
      <c r="S177" s="12" t="s">
        <v>902</v>
      </c>
    </row>
    <row r="178" spans="1:25">
      <c r="J178" s="12">
        <f t="shared" si="17"/>
        <v>177</v>
      </c>
    </row>
    <row r="179" spans="1:25">
      <c r="J179" s="12">
        <f t="shared" si="17"/>
        <v>178</v>
      </c>
    </row>
    <row r="180" spans="1:25">
      <c r="A180" s="20" t="s">
        <v>903</v>
      </c>
      <c r="B180" s="12" t="str">
        <f>IF(IFERROR(HLOOKUP(B$2,$M$2:$BL180,$J180,FALSE),"")="","",IFERROR(HLOOKUP(B$2,$M$2:$BL180,$J180,FALSE),""))</f>
        <v/>
      </c>
      <c r="C180" s="12" t="str">
        <f>IF(IFERROR(HLOOKUP(C$2,$M$2:$BL180,$J180,FALSE),"")="","",IFERROR(HLOOKUP(C$2,$M$2:$BL180,$J180,FALSE),""))</f>
        <v/>
      </c>
      <c r="D180" s="12" t="str">
        <f>IF(IFERROR(HLOOKUP(D$2,$M$2:$BL180,$J180,FALSE),"")="","",IFERROR(HLOOKUP(D$2,$M$2:$BL180,$J180,FALSE),""))</f>
        <v/>
      </c>
      <c r="E180" s="12" t="str">
        <f>IF(IFERROR(HLOOKUP(E$2,$M$2:$BL180,$J180,FALSE),"")="","",IFERROR(HLOOKUP(E$2,$M$2:$BL180,$J180,FALSE),""))</f>
        <v/>
      </c>
      <c r="F180" s="12" t="str">
        <f>IF(IFERROR(HLOOKUP(F$2,$M$2:$BL180,$J180,FALSE),"")="","",IFERROR(HLOOKUP(F$2,$M$2:$BL180,$J180,FALSE),""))</f>
        <v/>
      </c>
      <c r="G180" s="12" t="str">
        <f>IF(IFERROR(HLOOKUP(G$2,$M$2:$BL180,$J180,FALSE),"")="","",IFERROR(HLOOKUP(G$2,$M$2:$BL180,$J180,FALSE),""))</f>
        <v/>
      </c>
      <c r="J180" s="12">
        <f t="shared" si="17"/>
        <v>179</v>
      </c>
      <c r="U180" s="14" t="s">
        <v>904</v>
      </c>
    </row>
    <row r="181" spans="1:25" s="15" customFormat="1">
      <c r="A181" s="18" t="str">
        <f t="shared" ref="A181:A215" si="19">+A143</f>
        <v>Factor 1</v>
      </c>
      <c r="B181" s="15" t="str">
        <f>IF(IFERROR(HLOOKUP(B$2,$M$2:$BL181,$J181,FALSE),"")="","",IFERROR(HLOOKUP(B$2,$M$2:$BL181,$J181,FALSE),""))</f>
        <v/>
      </c>
      <c r="C181" s="18" t="str">
        <f>IF(IFERROR(HLOOKUP(C$2,$M$2:$BL181,$J181,FALSE),"")="","",IFERROR(HLOOKUP(C$2,$M$2:$BL181,$J181,FALSE),""))</f>
        <v/>
      </c>
      <c r="D181" s="18" t="str">
        <f>IF(IFERROR(HLOOKUP(D$2,$M$2:$BL181,$J181,FALSE),"")="","",IFERROR(HLOOKUP(D$2,$M$2:$BL181,$J181,FALSE),""))</f>
        <v/>
      </c>
      <c r="E181" s="18" t="str">
        <f>IF(IFERROR(HLOOKUP(E$2,$M$2:$BL181,$J181,FALSE),"")="","",IFERROR(HLOOKUP(E$2,$M$2:$BL181,$J181,FALSE),""))</f>
        <v/>
      </c>
      <c r="F181" s="18" t="str">
        <f>IF(IFERROR(HLOOKUP(F$2,$M$2:$BL181,$J181,FALSE),"")="","",IFERROR(HLOOKUP(F$2,$M$2:$BL181,$J181,FALSE),""))</f>
        <v/>
      </c>
      <c r="G181" s="18" t="str">
        <f>IF(IFERROR(HLOOKUP(G$2,$M$2:$BL181,$J181,FALSE),"")="","",IFERROR(HLOOKUP(G$2,$M$2:$BL181,$J181,FALSE),""))</f>
        <v/>
      </c>
      <c r="H181" s="18"/>
      <c r="J181" s="15">
        <f t="shared" si="17"/>
        <v>180</v>
      </c>
      <c r="U181" s="15" t="s">
        <v>375</v>
      </c>
      <c r="Y181" s="15" t="s">
        <v>905</v>
      </c>
    </row>
    <row r="182" spans="1:25">
      <c r="A182" s="12" t="str">
        <f t="shared" si="19"/>
        <v>AA and above</v>
      </c>
      <c r="B182" s="12" t="str">
        <f>IF(IFERROR(HLOOKUP(B$2,$M$2:$BL182,$J182,FALSE),"")="","",IFERROR(HLOOKUP(B$2,$M$2:$BL182,$J182,FALSE),""))</f>
        <v/>
      </c>
      <c r="C182" s="12" t="str">
        <f>IF(IFERROR(HLOOKUP(C$2,$M$2:$BL182,$J182,FALSE),"")="","",IFERROR(HLOOKUP(C$2,$M$2:$BL182,$J182,FALSE),""))</f>
        <v/>
      </c>
      <c r="D182" s="12" t="str">
        <f>IF(IFERROR(HLOOKUP(D$2,$M$2:$BL182,$J182,FALSE),"")="","",IFERROR(HLOOKUP(D$2,$M$2:$BL182,$J182,FALSE),""))</f>
        <v/>
      </c>
      <c r="E182" s="12" t="str">
        <f>IF(IFERROR(HLOOKUP(E$2,$M$2:$BL182,$J182,FALSE),"")="","",IFERROR(HLOOKUP(E$2,$M$2:$BL182,$J182,FALSE),""))</f>
        <v/>
      </c>
      <c r="F182" s="12" t="str">
        <f>IF(IFERROR(HLOOKUP(F$2,$M$2:$BL182,$J182,FALSE),"")="","",IFERROR(HLOOKUP(F$2,$M$2:$BL182,$J182,FALSE),""))</f>
        <v/>
      </c>
      <c r="G182" s="12" t="str">
        <f>IF(IFERROR(HLOOKUP(G$2,$M$2:$BL182,$J182,FALSE),"")="","",IFERROR(HLOOKUP(G$2,$M$2:$BL182,$J182,FALSE),""))</f>
        <v/>
      </c>
      <c r="J182" s="12">
        <f t="shared" si="17"/>
        <v>181</v>
      </c>
      <c r="U182" s="12" t="s">
        <v>906</v>
      </c>
      <c r="Y182" s="12" t="s">
        <v>907</v>
      </c>
    </row>
    <row r="183" spans="1:25">
      <c r="A183" s="12" t="str">
        <f t="shared" si="19"/>
        <v>A</v>
      </c>
      <c r="B183" s="12" t="str">
        <f>IF(IFERROR(HLOOKUP(B$2,$M$2:$BL183,$J183,FALSE),"")="","",IFERROR(HLOOKUP(B$2,$M$2:$BL183,$J183,FALSE),""))</f>
        <v/>
      </c>
      <c r="C183" s="12" t="str">
        <f>IF(IFERROR(HLOOKUP(C$2,$M$2:$BL183,$J183,FALSE),"")="","",IFERROR(HLOOKUP(C$2,$M$2:$BL183,$J183,FALSE),""))</f>
        <v/>
      </c>
      <c r="D183" s="12" t="str">
        <f>IF(IFERROR(HLOOKUP(D$2,$M$2:$BL183,$J183,FALSE),"")="","",IFERROR(HLOOKUP(D$2,$M$2:$BL183,$J183,FALSE),""))</f>
        <v/>
      </c>
      <c r="E183" s="12" t="str">
        <f>IF(IFERROR(HLOOKUP(E$2,$M$2:$BL183,$J183,FALSE),"")="","",IFERROR(HLOOKUP(E$2,$M$2:$BL183,$J183,FALSE),""))</f>
        <v/>
      </c>
      <c r="F183" s="12" t="str">
        <f>IF(IFERROR(HLOOKUP(F$2,$M$2:$BL183,$J183,FALSE),"")="","",IFERROR(HLOOKUP(F$2,$M$2:$BL183,$J183,FALSE),""))</f>
        <v/>
      </c>
      <c r="G183" s="12" t="str">
        <f>IF(IFERROR(HLOOKUP(G$2,$M$2:$BL183,$J183,FALSE),"")="","",IFERROR(HLOOKUP(G$2,$M$2:$BL183,$J183,FALSE),""))</f>
        <v/>
      </c>
      <c r="J183" s="12">
        <f t="shared" si="17"/>
        <v>182</v>
      </c>
      <c r="U183" s="12" t="s">
        <v>906</v>
      </c>
      <c r="Y183" s="12" t="s">
        <v>581</v>
      </c>
    </row>
    <row r="184" spans="1:25">
      <c r="A184" s="12" t="str">
        <f t="shared" si="19"/>
        <v>BBB</v>
      </c>
      <c r="B184" s="12" t="str">
        <f>IF(IFERROR(HLOOKUP(B$2,$M$2:$BL184,$J184,FALSE),"")="","",IFERROR(HLOOKUP(B$2,$M$2:$BL184,$J184,FALSE),""))</f>
        <v/>
      </c>
      <c r="C184" s="12" t="str">
        <f>IF(IFERROR(HLOOKUP(C$2,$M$2:$BL184,$J184,FALSE),"")="","",IFERROR(HLOOKUP(C$2,$M$2:$BL184,$J184,FALSE),""))</f>
        <v/>
      </c>
      <c r="D184" s="12" t="str">
        <f>IF(IFERROR(HLOOKUP(D$2,$M$2:$BL184,$J184,FALSE),"")="","",IFERROR(HLOOKUP(D$2,$M$2:$BL184,$J184,FALSE),""))</f>
        <v/>
      </c>
      <c r="E184" s="12" t="str">
        <f>IF(IFERROR(HLOOKUP(E$2,$M$2:$BL184,$J184,FALSE),"")="","",IFERROR(HLOOKUP(E$2,$M$2:$BL184,$J184,FALSE),""))</f>
        <v/>
      </c>
      <c r="F184" s="12" t="str">
        <f>IF(IFERROR(HLOOKUP(F$2,$M$2:$BL184,$J184,FALSE),"")="","",IFERROR(HLOOKUP(F$2,$M$2:$BL184,$J184,FALSE),""))</f>
        <v/>
      </c>
      <c r="G184" s="12" t="str">
        <f>IF(IFERROR(HLOOKUP(G$2,$M$2:$BL184,$J184,FALSE),"")="","",IFERROR(HLOOKUP(G$2,$M$2:$BL184,$J184,FALSE),""))</f>
        <v/>
      </c>
      <c r="J184" s="12">
        <f t="shared" si="17"/>
        <v>183</v>
      </c>
      <c r="U184" s="12" t="s">
        <v>908</v>
      </c>
      <c r="Y184" s="12" t="s">
        <v>714</v>
      </c>
    </row>
    <row r="185" spans="1:25">
      <c r="A185" s="12" t="str">
        <f t="shared" si="19"/>
        <v>BB</v>
      </c>
      <c r="B185" s="12" t="str">
        <f>IF(IFERROR(HLOOKUP(B$2,$M$2:$BL185,$J185,FALSE),"")="","",IFERROR(HLOOKUP(B$2,$M$2:$BL185,$J185,FALSE),""))</f>
        <v/>
      </c>
      <c r="C185" s="12" t="str">
        <f>IF(IFERROR(HLOOKUP(C$2,$M$2:$BL185,$J185,FALSE),"")="","",IFERROR(HLOOKUP(C$2,$M$2:$BL185,$J185,FALSE),""))</f>
        <v/>
      </c>
      <c r="D185" s="12" t="str">
        <f>IF(IFERROR(HLOOKUP(D$2,$M$2:$BL185,$J185,FALSE),"")="","",IFERROR(HLOOKUP(D$2,$M$2:$BL185,$J185,FALSE),""))</f>
        <v/>
      </c>
      <c r="E185" s="12" t="str">
        <f>IF(IFERROR(HLOOKUP(E$2,$M$2:$BL185,$J185,FALSE),"")="","",IFERROR(HLOOKUP(E$2,$M$2:$BL185,$J185,FALSE),""))</f>
        <v/>
      </c>
      <c r="F185" s="12" t="str">
        <f>IF(IFERROR(HLOOKUP(F$2,$M$2:$BL185,$J185,FALSE),"")="","",IFERROR(HLOOKUP(F$2,$M$2:$BL185,$J185,FALSE),""))</f>
        <v/>
      </c>
      <c r="G185" s="12" t="str">
        <f>IF(IFERROR(HLOOKUP(G$2,$M$2:$BL185,$J185,FALSE),"")="","",IFERROR(HLOOKUP(G$2,$M$2:$BL185,$J185,FALSE),""))</f>
        <v/>
      </c>
      <c r="J185" s="12">
        <f t="shared" si="17"/>
        <v>184</v>
      </c>
      <c r="U185" s="12" t="s">
        <v>909</v>
      </c>
      <c r="Y185" s="10">
        <v>0</v>
      </c>
    </row>
    <row r="186" spans="1:25">
      <c r="A186" s="12" t="str">
        <f t="shared" si="19"/>
        <v>B</v>
      </c>
      <c r="B186" s="12" t="str">
        <f>IF(IFERROR(HLOOKUP(B$2,$M$2:$BL186,$J186,FALSE),"")="","",IFERROR(HLOOKUP(B$2,$M$2:$BL186,$J186,FALSE),""))</f>
        <v/>
      </c>
      <c r="C186" s="12" t="str">
        <f>IF(IFERROR(HLOOKUP(C$2,$M$2:$BL186,$J186,FALSE),"")="","",IFERROR(HLOOKUP(C$2,$M$2:$BL186,$J186,FALSE),""))</f>
        <v/>
      </c>
      <c r="D186" s="12" t="str">
        <f>IF(IFERROR(HLOOKUP(D$2,$M$2:$BL186,$J186,FALSE),"")="","",IFERROR(HLOOKUP(D$2,$M$2:$BL186,$J186,FALSE),""))</f>
        <v/>
      </c>
      <c r="E186" s="12" t="str">
        <f>IF(IFERROR(HLOOKUP(E$2,$M$2:$BL186,$J186,FALSE),"")="","",IFERROR(HLOOKUP(E$2,$M$2:$BL186,$J186,FALSE),""))</f>
        <v/>
      </c>
      <c r="F186" s="12" t="str">
        <f>IF(IFERROR(HLOOKUP(F$2,$M$2:$BL186,$J186,FALSE),"")="","",IFERROR(HLOOKUP(F$2,$M$2:$BL186,$J186,FALSE),""))</f>
        <v/>
      </c>
      <c r="G186" s="12" t="str">
        <f>IF(IFERROR(HLOOKUP(G$2,$M$2:$BL186,$J186,FALSE),"")="","",IFERROR(HLOOKUP(G$2,$M$2:$BL186,$J186,FALSE),""))</f>
        <v/>
      </c>
      <c r="J186" s="12">
        <f t="shared" si="17"/>
        <v>185</v>
      </c>
      <c r="U186" s="12" t="s">
        <v>910</v>
      </c>
      <c r="Y186" s="10">
        <v>0</v>
      </c>
    </row>
    <row r="187" spans="1:25">
      <c r="A187" s="12" t="str">
        <f t="shared" si="19"/>
        <v>CCC and below</v>
      </c>
      <c r="B187" s="12" t="str">
        <f>IF(IFERROR(HLOOKUP(B$2,$M$2:$BL187,$J187,FALSE),"")="","",IFERROR(HLOOKUP(B$2,$M$2:$BL187,$J187,FALSE),""))</f>
        <v/>
      </c>
      <c r="C187" s="12" t="str">
        <f>IF(IFERROR(HLOOKUP(C$2,$M$2:$BL187,$J187,FALSE),"")="","",IFERROR(HLOOKUP(C$2,$M$2:$BL187,$J187,FALSE),""))</f>
        <v/>
      </c>
      <c r="D187" s="12" t="str">
        <f>IF(IFERROR(HLOOKUP(D$2,$M$2:$BL187,$J187,FALSE),"")="","",IFERROR(HLOOKUP(D$2,$M$2:$BL187,$J187,FALSE),""))</f>
        <v/>
      </c>
      <c r="E187" s="12" t="str">
        <f>IF(IFERROR(HLOOKUP(E$2,$M$2:$BL187,$J187,FALSE),"")="","",IFERROR(HLOOKUP(E$2,$M$2:$BL187,$J187,FALSE),""))</f>
        <v/>
      </c>
      <c r="F187" s="12" t="str">
        <f>IF(IFERROR(HLOOKUP(F$2,$M$2:$BL187,$J187,FALSE),"")="","",IFERROR(HLOOKUP(F$2,$M$2:$BL187,$J187,FALSE),""))</f>
        <v/>
      </c>
      <c r="G187" s="12" t="str">
        <f>IF(IFERROR(HLOOKUP(G$2,$M$2:$BL187,$J187,FALSE),"")="","",IFERROR(HLOOKUP(G$2,$M$2:$BL187,$J187,FALSE),""))</f>
        <v/>
      </c>
      <c r="J187" s="12">
        <f t="shared" si="17"/>
        <v>186</v>
      </c>
      <c r="U187" s="12" t="s">
        <v>148</v>
      </c>
      <c r="Y187" s="12" t="s">
        <v>148</v>
      </c>
    </row>
    <row r="188" spans="1:25" s="15" customFormat="1">
      <c r="A188" s="18" t="str">
        <f t="shared" si="19"/>
        <v>Factor 2</v>
      </c>
      <c r="B188" s="15" t="str">
        <f>IF(IFERROR(HLOOKUP(B$2,$M$2:$BL188,$J188,FALSE),"")="","",IFERROR(HLOOKUP(B$2,$M$2:$BL188,$J188,FALSE),""))</f>
        <v/>
      </c>
      <c r="C188" s="18" t="str">
        <f>IF(IFERROR(HLOOKUP(C$2,$M$2:$BL188,$J188,FALSE),"")="","",IFERROR(HLOOKUP(C$2,$M$2:$BL188,$J188,FALSE),""))</f>
        <v/>
      </c>
      <c r="D188" s="18" t="str">
        <f>IF(IFERROR(HLOOKUP(D$2,$M$2:$BL188,$J188,FALSE),"")="","",IFERROR(HLOOKUP(D$2,$M$2:$BL188,$J188,FALSE),""))</f>
        <v/>
      </c>
      <c r="E188" s="18" t="str">
        <f>IF(IFERROR(HLOOKUP(E$2,$M$2:$BL188,$J188,FALSE),"")="","",IFERROR(HLOOKUP(E$2,$M$2:$BL188,$J188,FALSE),""))</f>
        <v/>
      </c>
      <c r="F188" s="18" t="str">
        <f>IF(IFERROR(HLOOKUP(F$2,$M$2:$BL188,$J188,FALSE),"")="","",IFERROR(HLOOKUP(F$2,$M$2:$BL188,$J188,FALSE),""))</f>
        <v/>
      </c>
      <c r="G188" s="18" t="str">
        <f>IF(IFERROR(HLOOKUP(G$2,$M$2:$BL188,$J188,FALSE),"")="","",IFERROR(HLOOKUP(G$2,$M$2:$BL188,$J188,FALSE),""))</f>
        <v/>
      </c>
      <c r="H188" s="18"/>
      <c r="J188" s="15">
        <f t="shared" si="17"/>
        <v>187</v>
      </c>
      <c r="U188" s="15" t="s">
        <v>911</v>
      </c>
    </row>
    <row r="189" spans="1:25">
      <c r="A189" s="12" t="str">
        <f t="shared" si="19"/>
        <v>AA and above</v>
      </c>
      <c r="B189" s="12" t="str">
        <f>IF(IFERROR(HLOOKUP(B$2,$M$2:$BL189,$J189,FALSE),"")="","",IFERROR(HLOOKUP(B$2,$M$2:$BL189,$J189,FALSE),""))</f>
        <v/>
      </c>
      <c r="C189" s="12" t="str">
        <f>IF(IFERROR(HLOOKUP(C$2,$M$2:$BL189,$J189,FALSE),"")="","",IFERROR(HLOOKUP(C$2,$M$2:$BL189,$J189,FALSE),""))</f>
        <v/>
      </c>
      <c r="D189" s="12" t="str">
        <f>IF(IFERROR(HLOOKUP(D$2,$M$2:$BL189,$J189,FALSE),"")="","",IFERROR(HLOOKUP(D$2,$M$2:$BL189,$J189,FALSE),""))</f>
        <v/>
      </c>
      <c r="E189" s="12" t="str">
        <f>IF(IFERROR(HLOOKUP(E$2,$M$2:$BL189,$J189,FALSE),"")="","",IFERROR(HLOOKUP(E$2,$M$2:$BL189,$J189,FALSE),""))</f>
        <v/>
      </c>
      <c r="F189" s="12" t="str">
        <f>IF(IFERROR(HLOOKUP(F$2,$M$2:$BL189,$J189,FALSE),"")="","",IFERROR(HLOOKUP(F$2,$M$2:$BL189,$J189,FALSE),""))</f>
        <v/>
      </c>
      <c r="G189" s="12" t="str">
        <f>IF(IFERROR(HLOOKUP(G$2,$M$2:$BL189,$J189,FALSE),"")="","",IFERROR(HLOOKUP(G$2,$M$2:$BL189,$J189,FALSE),""))</f>
        <v/>
      </c>
      <c r="J189" s="12">
        <f t="shared" si="17"/>
        <v>188</v>
      </c>
      <c r="U189" s="12" t="s">
        <v>264</v>
      </c>
    </row>
    <row r="190" spans="1:25">
      <c r="A190" s="12" t="str">
        <f t="shared" si="19"/>
        <v>A</v>
      </c>
      <c r="B190" s="12" t="str">
        <f>IF(IFERROR(HLOOKUP(B$2,$M$2:$BL190,$J190,FALSE),"")="","",IFERROR(HLOOKUP(B$2,$M$2:$BL190,$J190,FALSE),""))</f>
        <v/>
      </c>
      <c r="C190" s="12" t="str">
        <f>IF(IFERROR(HLOOKUP(C$2,$M$2:$BL190,$J190,FALSE),"")="","",IFERROR(HLOOKUP(C$2,$M$2:$BL190,$J190,FALSE),""))</f>
        <v/>
      </c>
      <c r="D190" s="12" t="str">
        <f>IF(IFERROR(HLOOKUP(D$2,$M$2:$BL190,$J190,FALSE),"")="","",IFERROR(HLOOKUP(D$2,$M$2:$BL190,$J190,FALSE),""))</f>
        <v/>
      </c>
      <c r="E190" s="12" t="str">
        <f>IF(IFERROR(HLOOKUP(E$2,$M$2:$BL190,$J190,FALSE),"")="","",IFERROR(HLOOKUP(E$2,$M$2:$BL190,$J190,FALSE),""))</f>
        <v/>
      </c>
      <c r="F190" s="12" t="str">
        <f>IF(IFERROR(HLOOKUP(F$2,$M$2:$BL190,$J190,FALSE),"")="","",IFERROR(HLOOKUP(F$2,$M$2:$BL190,$J190,FALSE),""))</f>
        <v/>
      </c>
      <c r="G190" s="12" t="str">
        <f>IF(IFERROR(HLOOKUP(G$2,$M$2:$BL190,$J190,FALSE),"")="","",IFERROR(HLOOKUP(G$2,$M$2:$BL190,$J190,FALSE),""))</f>
        <v/>
      </c>
      <c r="J190" s="12">
        <f t="shared" si="17"/>
        <v>189</v>
      </c>
      <c r="U190" s="12" t="s">
        <v>242</v>
      </c>
    </row>
    <row r="191" spans="1:25">
      <c r="A191" s="12" t="str">
        <f t="shared" si="19"/>
        <v>BBB</v>
      </c>
      <c r="B191" s="12" t="str">
        <f>IF(IFERROR(HLOOKUP(B$2,$M$2:$BL191,$J191,FALSE),"")="","",IFERROR(HLOOKUP(B$2,$M$2:$BL191,$J191,FALSE),""))</f>
        <v/>
      </c>
      <c r="C191" s="12" t="str">
        <f>IF(IFERROR(HLOOKUP(C$2,$M$2:$BL191,$J191,FALSE),"")="","",IFERROR(HLOOKUP(C$2,$M$2:$BL191,$J191,FALSE),""))</f>
        <v/>
      </c>
      <c r="D191" s="12" t="str">
        <f>IF(IFERROR(HLOOKUP(D$2,$M$2:$BL191,$J191,FALSE),"")="","",IFERROR(HLOOKUP(D$2,$M$2:$BL191,$J191,FALSE),""))</f>
        <v/>
      </c>
      <c r="E191" s="12" t="str">
        <f>IF(IFERROR(HLOOKUP(E$2,$M$2:$BL191,$J191,FALSE),"")="","",IFERROR(HLOOKUP(E$2,$M$2:$BL191,$J191,FALSE),""))</f>
        <v/>
      </c>
      <c r="F191" s="12" t="str">
        <f>IF(IFERROR(HLOOKUP(F$2,$M$2:$BL191,$J191,FALSE),"")="","",IFERROR(HLOOKUP(F$2,$M$2:$BL191,$J191,FALSE),""))</f>
        <v/>
      </c>
      <c r="G191" s="12" t="str">
        <f>IF(IFERROR(HLOOKUP(G$2,$M$2:$BL191,$J191,FALSE),"")="","",IFERROR(HLOOKUP(G$2,$M$2:$BL191,$J191,FALSE),""))</f>
        <v/>
      </c>
      <c r="J191" s="12">
        <f t="shared" si="17"/>
        <v>190</v>
      </c>
      <c r="U191" s="12" t="s">
        <v>912</v>
      </c>
    </row>
    <row r="192" spans="1:25">
      <c r="A192" s="12" t="str">
        <f t="shared" si="19"/>
        <v>BB</v>
      </c>
      <c r="B192" s="12" t="str">
        <f>IF(IFERROR(HLOOKUP(B$2,$M$2:$BL192,$J192,FALSE),"")="","",IFERROR(HLOOKUP(B$2,$M$2:$BL192,$J192,FALSE),""))</f>
        <v/>
      </c>
      <c r="C192" s="12" t="str">
        <f>IF(IFERROR(HLOOKUP(C$2,$M$2:$BL192,$J192,FALSE),"")="","",IFERROR(HLOOKUP(C$2,$M$2:$BL192,$J192,FALSE),""))</f>
        <v/>
      </c>
      <c r="D192" s="12" t="str">
        <f>IF(IFERROR(HLOOKUP(D$2,$M$2:$BL192,$J192,FALSE),"")="","",IFERROR(HLOOKUP(D$2,$M$2:$BL192,$J192,FALSE),""))</f>
        <v/>
      </c>
      <c r="E192" s="12" t="str">
        <f>IF(IFERROR(HLOOKUP(E$2,$M$2:$BL192,$J192,FALSE),"")="","",IFERROR(HLOOKUP(E$2,$M$2:$BL192,$J192,FALSE),""))</f>
        <v/>
      </c>
      <c r="F192" s="12" t="str">
        <f>IF(IFERROR(HLOOKUP(F$2,$M$2:$BL192,$J192,FALSE),"")="","",IFERROR(HLOOKUP(F$2,$M$2:$BL192,$J192,FALSE),""))</f>
        <v/>
      </c>
      <c r="G192" s="12" t="str">
        <f>IF(IFERROR(HLOOKUP(G$2,$M$2:$BL192,$J192,FALSE),"")="","",IFERROR(HLOOKUP(G$2,$M$2:$BL192,$J192,FALSE),""))</f>
        <v/>
      </c>
      <c r="J192" s="12">
        <f t="shared" si="17"/>
        <v>191</v>
      </c>
      <c r="U192" s="12" t="s">
        <v>913</v>
      </c>
    </row>
    <row r="193" spans="1:21">
      <c r="A193" s="12" t="str">
        <f t="shared" si="19"/>
        <v>B</v>
      </c>
      <c r="B193" s="12" t="str">
        <f>IF(IFERROR(HLOOKUP(B$2,$M$2:$BL193,$J193,FALSE),"")="","",IFERROR(HLOOKUP(B$2,$M$2:$BL193,$J193,FALSE),""))</f>
        <v/>
      </c>
      <c r="C193" s="12" t="str">
        <f>IF(IFERROR(HLOOKUP(C$2,$M$2:$BL193,$J193,FALSE),"")="","",IFERROR(HLOOKUP(C$2,$M$2:$BL193,$J193,FALSE),""))</f>
        <v/>
      </c>
      <c r="D193" s="12" t="str">
        <f>IF(IFERROR(HLOOKUP(D$2,$M$2:$BL193,$J193,FALSE),"")="","",IFERROR(HLOOKUP(D$2,$M$2:$BL193,$J193,FALSE),""))</f>
        <v/>
      </c>
      <c r="E193" s="12" t="str">
        <f>IF(IFERROR(HLOOKUP(E$2,$M$2:$BL193,$J193,FALSE),"")="","",IFERROR(HLOOKUP(E$2,$M$2:$BL193,$J193,FALSE),""))</f>
        <v/>
      </c>
      <c r="F193" s="12" t="str">
        <f>IF(IFERROR(HLOOKUP(F$2,$M$2:$BL193,$J193,FALSE),"")="","",IFERROR(HLOOKUP(F$2,$M$2:$BL193,$J193,FALSE),""))</f>
        <v/>
      </c>
      <c r="G193" s="12" t="str">
        <f>IF(IFERROR(HLOOKUP(G$2,$M$2:$BL193,$J193,FALSE),"")="","",IFERROR(HLOOKUP(G$2,$M$2:$BL193,$J193,FALSE),""))</f>
        <v/>
      </c>
      <c r="J193" s="12">
        <f t="shared" si="17"/>
        <v>192</v>
      </c>
      <c r="U193" s="12" t="s">
        <v>914</v>
      </c>
    </row>
    <row r="194" spans="1:21">
      <c r="A194" s="12" t="str">
        <f t="shared" si="19"/>
        <v>CCC and below</v>
      </c>
      <c r="B194" s="12" t="str">
        <f>IF(IFERROR(HLOOKUP(B$2,$M$2:$BL194,$J194,FALSE),"")="","",IFERROR(HLOOKUP(B$2,$M$2:$BL194,$J194,FALSE),""))</f>
        <v/>
      </c>
      <c r="C194" s="12" t="str">
        <f>IF(IFERROR(HLOOKUP(C$2,$M$2:$BL194,$J194,FALSE),"")="","",IFERROR(HLOOKUP(C$2,$M$2:$BL194,$J194,FALSE),""))</f>
        <v/>
      </c>
      <c r="D194" s="12" t="str">
        <f>IF(IFERROR(HLOOKUP(D$2,$M$2:$BL194,$J194,FALSE),"")="","",IFERROR(HLOOKUP(D$2,$M$2:$BL194,$J194,FALSE),""))</f>
        <v/>
      </c>
      <c r="E194" s="12" t="str">
        <f>IF(IFERROR(HLOOKUP(E$2,$M$2:$BL194,$J194,FALSE),"")="","",IFERROR(HLOOKUP(E$2,$M$2:$BL194,$J194,FALSE),""))</f>
        <v/>
      </c>
      <c r="F194" s="12" t="str">
        <f>IF(IFERROR(HLOOKUP(F$2,$M$2:$BL194,$J194,FALSE),"")="","",IFERROR(HLOOKUP(F$2,$M$2:$BL194,$J194,FALSE),""))</f>
        <v/>
      </c>
      <c r="G194" s="12" t="str">
        <f>IF(IFERROR(HLOOKUP(G$2,$M$2:$BL194,$J194,FALSE),"")="","",IFERROR(HLOOKUP(G$2,$M$2:$BL194,$J194,FALSE),""))</f>
        <v/>
      </c>
      <c r="J194" s="12">
        <f t="shared" si="17"/>
        <v>193</v>
      </c>
      <c r="U194" s="12" t="s">
        <v>148</v>
      </c>
    </row>
    <row r="195" spans="1:21" s="15" customFormat="1">
      <c r="A195" s="18" t="str">
        <f t="shared" si="19"/>
        <v>Factor 3</v>
      </c>
      <c r="B195" s="15" t="str">
        <f>IF(IFERROR(HLOOKUP(B$2,$M$2:$BL195,$J195,FALSE),"")="","",IFERROR(HLOOKUP(B$2,$M$2:$BL195,$J195,FALSE),""))</f>
        <v/>
      </c>
      <c r="C195" s="18" t="str">
        <f>IF(IFERROR(HLOOKUP(C$2,$M$2:$BL195,$J195,FALSE),"")="","",IFERROR(HLOOKUP(C$2,$M$2:$BL195,$J195,FALSE),""))</f>
        <v/>
      </c>
      <c r="D195" s="18" t="str">
        <f>IF(IFERROR(HLOOKUP(D$2,$M$2:$BL195,$J195,FALSE),"")="","",IFERROR(HLOOKUP(D$2,$M$2:$BL195,$J195,FALSE),""))</f>
        <v/>
      </c>
      <c r="E195" s="18" t="str">
        <f>IF(IFERROR(HLOOKUP(E$2,$M$2:$BL195,$J195,FALSE),"")="","",IFERROR(HLOOKUP(E$2,$M$2:$BL195,$J195,FALSE),""))</f>
        <v/>
      </c>
      <c r="F195" s="18" t="str">
        <f>IF(IFERROR(HLOOKUP(F$2,$M$2:$BL195,$J195,FALSE),"")="","",IFERROR(HLOOKUP(F$2,$M$2:$BL195,$J195,FALSE),""))</f>
        <v/>
      </c>
      <c r="G195" s="18" t="str">
        <f>IF(IFERROR(HLOOKUP(G$2,$M$2:$BL195,$J195,FALSE),"")="","",IFERROR(HLOOKUP(G$2,$M$2:$BL195,$J195,FALSE),""))</f>
        <v/>
      </c>
      <c r="H195" s="18"/>
      <c r="J195" s="15">
        <f t="shared" ref="J195:J215" si="20">+J194+1</f>
        <v>194</v>
      </c>
      <c r="U195" s="15" t="s">
        <v>915</v>
      </c>
    </row>
    <row r="196" spans="1:21">
      <c r="A196" s="12" t="str">
        <f t="shared" si="19"/>
        <v>AA and above</v>
      </c>
      <c r="B196" s="12" t="str">
        <f>IF(IFERROR(HLOOKUP(B$2,$M$2:$BL196,$J196,FALSE),"")="","",IFERROR(HLOOKUP(B$2,$M$2:$BL196,$J196,FALSE),""))</f>
        <v/>
      </c>
      <c r="C196" s="12" t="str">
        <f>IF(IFERROR(HLOOKUP(C$2,$M$2:$BL196,$J196,FALSE),"")="","",IFERROR(HLOOKUP(C$2,$M$2:$BL196,$J196,FALSE),""))</f>
        <v/>
      </c>
      <c r="D196" s="12" t="str">
        <f>IF(IFERROR(HLOOKUP(D$2,$M$2:$BL196,$J196,FALSE),"")="","",IFERROR(HLOOKUP(D$2,$M$2:$BL196,$J196,FALSE),""))</f>
        <v/>
      </c>
      <c r="E196" s="12" t="str">
        <f>IF(IFERROR(HLOOKUP(E$2,$M$2:$BL196,$J196,FALSE),"")="","",IFERROR(HLOOKUP(E$2,$M$2:$BL196,$J196,FALSE),""))</f>
        <v/>
      </c>
      <c r="F196" s="12" t="str">
        <f>IF(IFERROR(HLOOKUP(F$2,$M$2:$BL196,$J196,FALSE),"")="","",IFERROR(HLOOKUP(F$2,$M$2:$BL196,$J196,FALSE),""))</f>
        <v/>
      </c>
      <c r="G196" s="12" t="str">
        <f>IF(IFERROR(HLOOKUP(G$2,$M$2:$BL196,$J196,FALSE),"")="","",IFERROR(HLOOKUP(G$2,$M$2:$BL196,$J196,FALSE),""))</f>
        <v/>
      </c>
      <c r="J196" s="12">
        <f t="shared" si="20"/>
        <v>195</v>
      </c>
      <c r="U196" s="12" t="s">
        <v>264</v>
      </c>
    </row>
    <row r="197" spans="1:21">
      <c r="A197" s="12" t="str">
        <f t="shared" si="19"/>
        <v>A</v>
      </c>
      <c r="B197" s="12" t="str">
        <f>IF(IFERROR(HLOOKUP(B$2,$M$2:$BL197,$J197,FALSE),"")="","",IFERROR(HLOOKUP(B$2,$M$2:$BL197,$J197,FALSE),""))</f>
        <v/>
      </c>
      <c r="C197" s="12" t="str">
        <f>IF(IFERROR(HLOOKUP(C$2,$M$2:$BL197,$J197,FALSE),"")="","",IFERROR(HLOOKUP(C$2,$M$2:$BL197,$J197,FALSE),""))</f>
        <v/>
      </c>
      <c r="D197" s="12" t="str">
        <f>IF(IFERROR(HLOOKUP(D$2,$M$2:$BL197,$J197,FALSE),"")="","",IFERROR(HLOOKUP(D$2,$M$2:$BL197,$J197,FALSE),""))</f>
        <v/>
      </c>
      <c r="E197" s="12" t="str">
        <f>IF(IFERROR(HLOOKUP(E$2,$M$2:$BL197,$J197,FALSE),"")="","",IFERROR(HLOOKUP(E$2,$M$2:$BL197,$J197,FALSE),""))</f>
        <v/>
      </c>
      <c r="F197" s="12" t="str">
        <f>IF(IFERROR(HLOOKUP(F$2,$M$2:$BL197,$J197,FALSE),"")="","",IFERROR(HLOOKUP(F$2,$M$2:$BL197,$J197,FALSE),""))</f>
        <v/>
      </c>
      <c r="G197" s="12" t="str">
        <f>IF(IFERROR(HLOOKUP(G$2,$M$2:$BL197,$J197,FALSE),"")="","",IFERROR(HLOOKUP(G$2,$M$2:$BL197,$J197,FALSE),""))</f>
        <v/>
      </c>
      <c r="J197" s="12">
        <f t="shared" si="20"/>
        <v>196</v>
      </c>
      <c r="U197" s="12" t="s">
        <v>242</v>
      </c>
    </row>
    <row r="198" spans="1:21">
      <c r="A198" s="12" t="str">
        <f t="shared" si="19"/>
        <v>BBB</v>
      </c>
      <c r="B198" s="12" t="str">
        <f>IF(IFERROR(HLOOKUP(B$2,$M$2:$BL198,$J198,FALSE),"")="","",IFERROR(HLOOKUP(B$2,$M$2:$BL198,$J198,FALSE),""))</f>
        <v/>
      </c>
      <c r="C198" s="12" t="str">
        <f>IF(IFERROR(HLOOKUP(C$2,$M$2:$BL198,$J198,FALSE),"")="","",IFERROR(HLOOKUP(C$2,$M$2:$BL198,$J198,FALSE),""))</f>
        <v/>
      </c>
      <c r="D198" s="12" t="str">
        <f>IF(IFERROR(HLOOKUP(D$2,$M$2:$BL198,$J198,FALSE),"")="","",IFERROR(HLOOKUP(D$2,$M$2:$BL198,$J198,FALSE),""))</f>
        <v/>
      </c>
      <c r="E198" s="12" t="str">
        <f>IF(IFERROR(HLOOKUP(E$2,$M$2:$BL198,$J198,FALSE),"")="","",IFERROR(HLOOKUP(E$2,$M$2:$BL198,$J198,FALSE),""))</f>
        <v/>
      </c>
      <c r="F198" s="12" t="str">
        <f>IF(IFERROR(HLOOKUP(F$2,$M$2:$BL198,$J198,FALSE),"")="","",IFERROR(HLOOKUP(F$2,$M$2:$BL198,$J198,FALSE),""))</f>
        <v/>
      </c>
      <c r="G198" s="12" t="str">
        <f>IF(IFERROR(HLOOKUP(G$2,$M$2:$BL198,$J198,FALSE),"")="","",IFERROR(HLOOKUP(G$2,$M$2:$BL198,$J198,FALSE),""))</f>
        <v/>
      </c>
      <c r="J198" s="12">
        <f t="shared" si="20"/>
        <v>197</v>
      </c>
      <c r="U198" s="12" t="s">
        <v>458</v>
      </c>
    </row>
    <row r="199" spans="1:21">
      <c r="A199" s="12" t="str">
        <f t="shared" si="19"/>
        <v>BB</v>
      </c>
      <c r="B199" s="12" t="str">
        <f>IF(IFERROR(HLOOKUP(B$2,$M$2:$BL199,$J199,FALSE),"")="","",IFERROR(HLOOKUP(B$2,$M$2:$BL199,$J199,FALSE),""))</f>
        <v/>
      </c>
      <c r="C199" s="12" t="str">
        <f>IF(IFERROR(HLOOKUP(C$2,$M$2:$BL199,$J199,FALSE),"")="","",IFERROR(HLOOKUP(C$2,$M$2:$BL199,$J199,FALSE),""))</f>
        <v/>
      </c>
      <c r="D199" s="12" t="str">
        <f>IF(IFERROR(HLOOKUP(D$2,$M$2:$BL199,$J199,FALSE),"")="","",IFERROR(HLOOKUP(D$2,$M$2:$BL199,$J199,FALSE),""))</f>
        <v/>
      </c>
      <c r="E199" s="12" t="str">
        <f>IF(IFERROR(HLOOKUP(E$2,$M$2:$BL199,$J199,FALSE),"")="","",IFERROR(HLOOKUP(E$2,$M$2:$BL199,$J199,FALSE),""))</f>
        <v/>
      </c>
      <c r="F199" s="12" t="str">
        <f>IF(IFERROR(HLOOKUP(F$2,$M$2:$BL199,$J199,FALSE),"")="","",IFERROR(HLOOKUP(F$2,$M$2:$BL199,$J199,FALSE),""))</f>
        <v/>
      </c>
      <c r="G199" s="12" t="str">
        <f>IF(IFERROR(HLOOKUP(G$2,$M$2:$BL199,$J199,FALSE),"")="","",IFERROR(HLOOKUP(G$2,$M$2:$BL199,$J199,FALSE),""))</f>
        <v/>
      </c>
      <c r="J199" s="12">
        <f t="shared" si="20"/>
        <v>198</v>
      </c>
      <c r="U199" s="12" t="s">
        <v>468</v>
      </c>
    </row>
    <row r="200" spans="1:21">
      <c r="A200" s="12" t="str">
        <f t="shared" si="19"/>
        <v>B</v>
      </c>
      <c r="B200" s="12" t="str">
        <f>IF(IFERROR(HLOOKUP(B$2,$M$2:$BL200,$J200,FALSE),"")="","",IFERROR(HLOOKUP(B$2,$M$2:$BL200,$J200,FALSE),""))</f>
        <v/>
      </c>
      <c r="C200" s="12" t="str">
        <f>IF(IFERROR(HLOOKUP(C$2,$M$2:$BL200,$J200,FALSE),"")="","",IFERROR(HLOOKUP(C$2,$M$2:$BL200,$J200,FALSE),""))</f>
        <v/>
      </c>
      <c r="D200" s="12" t="str">
        <f>IF(IFERROR(HLOOKUP(D$2,$M$2:$BL200,$J200,FALSE),"")="","",IFERROR(HLOOKUP(D$2,$M$2:$BL200,$J200,FALSE),""))</f>
        <v/>
      </c>
      <c r="E200" s="12" t="str">
        <f>IF(IFERROR(HLOOKUP(E$2,$M$2:$BL200,$J200,FALSE),"")="","",IFERROR(HLOOKUP(E$2,$M$2:$BL200,$J200,FALSE),""))</f>
        <v/>
      </c>
      <c r="F200" s="12" t="str">
        <f>IF(IFERROR(HLOOKUP(F$2,$M$2:$BL200,$J200,FALSE),"")="","",IFERROR(HLOOKUP(F$2,$M$2:$BL200,$J200,FALSE),""))</f>
        <v/>
      </c>
      <c r="G200" s="12" t="str">
        <f>IF(IFERROR(HLOOKUP(G$2,$M$2:$BL200,$J200,FALSE),"")="","",IFERROR(HLOOKUP(G$2,$M$2:$BL200,$J200,FALSE),""))</f>
        <v/>
      </c>
      <c r="J200" s="12">
        <f t="shared" si="20"/>
        <v>199</v>
      </c>
      <c r="U200" s="12" t="s">
        <v>874</v>
      </c>
    </row>
    <row r="201" spans="1:21">
      <c r="A201" s="12" t="str">
        <f t="shared" si="19"/>
        <v>CCC and below</v>
      </c>
      <c r="B201" s="12" t="str">
        <f>IF(IFERROR(HLOOKUP(B$2,$M$2:$BL201,$J201,FALSE),"")="","",IFERROR(HLOOKUP(B$2,$M$2:$BL201,$J201,FALSE),""))</f>
        <v/>
      </c>
      <c r="C201" s="12" t="str">
        <f>IF(IFERROR(HLOOKUP(C$2,$M$2:$BL201,$J201,FALSE),"")="","",IFERROR(HLOOKUP(C$2,$M$2:$BL201,$J201,FALSE),""))</f>
        <v/>
      </c>
      <c r="D201" s="12" t="str">
        <f>IF(IFERROR(HLOOKUP(D$2,$M$2:$BL201,$J201,FALSE),"")="","",IFERROR(HLOOKUP(D$2,$M$2:$BL201,$J201,FALSE),""))</f>
        <v/>
      </c>
      <c r="E201" s="12" t="str">
        <f>IF(IFERROR(HLOOKUP(E$2,$M$2:$BL201,$J201,FALSE),"")="","",IFERROR(HLOOKUP(E$2,$M$2:$BL201,$J201,FALSE),""))</f>
        <v/>
      </c>
      <c r="F201" s="12" t="str">
        <f>IF(IFERROR(HLOOKUP(F$2,$M$2:$BL201,$J201,FALSE),"")="","",IFERROR(HLOOKUP(F$2,$M$2:$BL201,$J201,FALSE),""))</f>
        <v/>
      </c>
      <c r="G201" s="12" t="str">
        <f>IF(IFERROR(HLOOKUP(G$2,$M$2:$BL201,$J201,FALSE),"")="","",IFERROR(HLOOKUP(G$2,$M$2:$BL201,$J201,FALSE),""))</f>
        <v/>
      </c>
      <c r="J201" s="12">
        <f t="shared" si="20"/>
        <v>200</v>
      </c>
      <c r="U201" s="12" t="s">
        <v>148</v>
      </c>
    </row>
    <row r="202" spans="1:21" s="15" customFormat="1">
      <c r="A202" s="18" t="str">
        <f t="shared" si="19"/>
        <v>Factor 4</v>
      </c>
      <c r="B202" s="15" t="str">
        <f>IF(IFERROR(HLOOKUP(B$2,$M$2:$BL202,$J202,FALSE),"")="","",IFERROR(HLOOKUP(B$2,$M$2:$BL202,$J202,FALSE),""))</f>
        <v/>
      </c>
      <c r="C202" s="18" t="str">
        <f>IF(IFERROR(HLOOKUP(C$2,$M$2:$BL202,$J202,FALSE),"")="","",IFERROR(HLOOKUP(C$2,$M$2:$BL202,$J202,FALSE),""))</f>
        <v/>
      </c>
      <c r="D202" s="18" t="str">
        <f>IF(IFERROR(HLOOKUP(D$2,$M$2:$BL202,$J202,FALSE),"")="","",IFERROR(HLOOKUP(D$2,$M$2:$BL202,$J202,FALSE),""))</f>
        <v/>
      </c>
      <c r="E202" s="18" t="str">
        <f>IF(IFERROR(HLOOKUP(E$2,$M$2:$BL202,$J202,FALSE),"")="","",IFERROR(HLOOKUP(E$2,$M$2:$BL202,$J202,FALSE),""))</f>
        <v/>
      </c>
      <c r="F202" s="18" t="str">
        <f>IF(IFERROR(HLOOKUP(F$2,$M$2:$BL202,$J202,FALSE),"")="","",IFERROR(HLOOKUP(F$2,$M$2:$BL202,$J202,FALSE),""))</f>
        <v/>
      </c>
      <c r="G202" s="18" t="str">
        <f>IF(IFERROR(HLOOKUP(G$2,$M$2:$BL202,$J202,FALSE),"")="","",IFERROR(HLOOKUP(G$2,$M$2:$BL202,$J202,FALSE),""))</f>
        <v/>
      </c>
      <c r="H202" s="18"/>
      <c r="J202" s="15">
        <f t="shared" si="20"/>
        <v>201</v>
      </c>
      <c r="U202" s="15" t="s">
        <v>916</v>
      </c>
    </row>
    <row r="203" spans="1:21">
      <c r="A203" s="12" t="str">
        <f t="shared" si="19"/>
        <v>AA and above</v>
      </c>
      <c r="B203" s="12" t="str">
        <f>IF(IFERROR(HLOOKUP(B$2,$M$2:$BL203,$J203,FALSE),"")="","",IFERROR(HLOOKUP(B$2,$M$2:$BL203,$J203,FALSE),""))</f>
        <v/>
      </c>
      <c r="C203" s="12" t="str">
        <f>IF(IFERROR(HLOOKUP(C$2,$M$2:$BL203,$J203,FALSE),"")="","",IFERROR(HLOOKUP(C$2,$M$2:$BL203,$J203,FALSE),""))</f>
        <v/>
      </c>
      <c r="D203" s="12" t="str">
        <f>IF(IFERROR(HLOOKUP(D$2,$M$2:$BL203,$J203,FALSE),"")="","",IFERROR(HLOOKUP(D$2,$M$2:$BL203,$J203,FALSE),""))</f>
        <v/>
      </c>
      <c r="E203" s="12" t="str">
        <f>IF(IFERROR(HLOOKUP(E$2,$M$2:$BL203,$J203,FALSE),"")="","",IFERROR(HLOOKUP(E$2,$M$2:$BL203,$J203,FALSE),""))</f>
        <v/>
      </c>
      <c r="F203" s="12" t="str">
        <f>IF(IFERROR(HLOOKUP(F$2,$M$2:$BL203,$J203,FALSE),"")="","",IFERROR(HLOOKUP(F$2,$M$2:$BL203,$J203,FALSE),""))</f>
        <v/>
      </c>
      <c r="G203" s="12" t="str">
        <f>IF(IFERROR(HLOOKUP(G$2,$M$2:$BL203,$J203,FALSE),"")="","",IFERROR(HLOOKUP(G$2,$M$2:$BL203,$J203,FALSE),""))</f>
        <v/>
      </c>
      <c r="J203" s="12">
        <f t="shared" si="20"/>
        <v>202</v>
      </c>
      <c r="U203" s="12" t="s">
        <v>451</v>
      </c>
    </row>
    <row r="204" spans="1:21">
      <c r="A204" s="12" t="str">
        <f t="shared" si="19"/>
        <v>A</v>
      </c>
      <c r="B204" s="12" t="str">
        <f>IF(IFERROR(HLOOKUP(B$2,$M$2:$BL204,$J204,FALSE),"")="","",IFERROR(HLOOKUP(B$2,$M$2:$BL204,$J204,FALSE),""))</f>
        <v/>
      </c>
      <c r="C204" s="12" t="str">
        <f>IF(IFERROR(HLOOKUP(C$2,$M$2:$BL204,$J204,FALSE),"")="","",IFERROR(HLOOKUP(C$2,$M$2:$BL204,$J204,FALSE),""))</f>
        <v/>
      </c>
      <c r="D204" s="12" t="str">
        <f>IF(IFERROR(HLOOKUP(D$2,$M$2:$BL204,$J204,FALSE),"")="","",IFERROR(HLOOKUP(D$2,$M$2:$BL204,$J204,FALSE),""))</f>
        <v/>
      </c>
      <c r="E204" s="12" t="str">
        <f>IF(IFERROR(HLOOKUP(E$2,$M$2:$BL204,$J204,FALSE),"")="","",IFERROR(HLOOKUP(E$2,$M$2:$BL204,$J204,FALSE),""))</f>
        <v/>
      </c>
      <c r="F204" s="12" t="str">
        <f>IF(IFERROR(HLOOKUP(F$2,$M$2:$BL204,$J204,FALSE),"")="","",IFERROR(HLOOKUP(F$2,$M$2:$BL204,$J204,FALSE),""))</f>
        <v/>
      </c>
      <c r="G204" s="12" t="str">
        <f>IF(IFERROR(HLOOKUP(G$2,$M$2:$BL204,$J204,FALSE),"")="","",IFERROR(HLOOKUP(G$2,$M$2:$BL204,$J204,FALSE),""))</f>
        <v/>
      </c>
      <c r="J204" s="12">
        <f t="shared" si="20"/>
        <v>203</v>
      </c>
      <c r="U204" s="12" t="s">
        <v>917</v>
      </c>
    </row>
    <row r="205" spans="1:21">
      <c r="A205" s="12" t="str">
        <f t="shared" si="19"/>
        <v>BBB</v>
      </c>
      <c r="B205" s="12" t="str">
        <f>IF(IFERROR(HLOOKUP(B$2,$M$2:$BL205,$J205,FALSE),"")="","",IFERROR(HLOOKUP(B$2,$M$2:$BL205,$J205,FALSE),""))</f>
        <v/>
      </c>
      <c r="C205" s="12" t="str">
        <f>IF(IFERROR(HLOOKUP(C$2,$M$2:$BL205,$J205,FALSE),"")="","",IFERROR(HLOOKUP(C$2,$M$2:$BL205,$J205,FALSE),""))</f>
        <v/>
      </c>
      <c r="D205" s="12" t="str">
        <f>IF(IFERROR(HLOOKUP(D$2,$M$2:$BL205,$J205,FALSE),"")="","",IFERROR(HLOOKUP(D$2,$M$2:$BL205,$J205,FALSE),""))</f>
        <v/>
      </c>
      <c r="E205" s="12" t="str">
        <f>IF(IFERROR(HLOOKUP(E$2,$M$2:$BL205,$J205,FALSE),"")="","",IFERROR(HLOOKUP(E$2,$M$2:$BL205,$J205,FALSE),""))</f>
        <v/>
      </c>
      <c r="F205" s="12" t="str">
        <f>IF(IFERROR(HLOOKUP(F$2,$M$2:$BL205,$J205,FALSE),"")="","",IFERROR(HLOOKUP(F$2,$M$2:$BL205,$J205,FALSE),""))</f>
        <v/>
      </c>
      <c r="G205" s="12" t="str">
        <f>IF(IFERROR(HLOOKUP(G$2,$M$2:$BL205,$J205,FALSE),"")="","",IFERROR(HLOOKUP(G$2,$M$2:$BL205,$J205,FALSE),""))</f>
        <v/>
      </c>
      <c r="J205" s="12">
        <f t="shared" si="20"/>
        <v>204</v>
      </c>
      <c r="U205" s="12" t="s">
        <v>918</v>
      </c>
    </row>
    <row r="206" spans="1:21">
      <c r="A206" s="12" t="str">
        <f t="shared" si="19"/>
        <v>BB</v>
      </c>
      <c r="B206" s="12" t="str">
        <f>IF(IFERROR(HLOOKUP(B$2,$M$2:$BL206,$J206,FALSE),"")="","",IFERROR(HLOOKUP(B$2,$M$2:$BL206,$J206,FALSE),""))</f>
        <v/>
      </c>
      <c r="C206" s="12" t="str">
        <f>IF(IFERROR(HLOOKUP(C$2,$M$2:$BL206,$J206,FALSE),"")="","",IFERROR(HLOOKUP(C$2,$M$2:$BL206,$J206,FALSE),""))</f>
        <v/>
      </c>
      <c r="D206" s="12" t="str">
        <f>IF(IFERROR(HLOOKUP(D$2,$M$2:$BL206,$J206,FALSE),"")="","",IFERROR(HLOOKUP(D$2,$M$2:$BL206,$J206,FALSE),""))</f>
        <v/>
      </c>
      <c r="E206" s="12" t="str">
        <f>IF(IFERROR(HLOOKUP(E$2,$M$2:$BL206,$J206,FALSE),"")="","",IFERROR(HLOOKUP(E$2,$M$2:$BL206,$J206,FALSE),""))</f>
        <v/>
      </c>
      <c r="F206" s="12" t="str">
        <f>IF(IFERROR(HLOOKUP(F$2,$M$2:$BL206,$J206,FALSE),"")="","",IFERROR(HLOOKUP(F$2,$M$2:$BL206,$J206,FALSE),""))</f>
        <v/>
      </c>
      <c r="G206" s="12" t="str">
        <f>IF(IFERROR(HLOOKUP(G$2,$M$2:$BL206,$J206,FALSE),"")="","",IFERROR(HLOOKUP(G$2,$M$2:$BL206,$J206,FALSE),""))</f>
        <v/>
      </c>
      <c r="J206" s="12">
        <f t="shared" si="20"/>
        <v>205</v>
      </c>
      <c r="U206" s="12" t="s">
        <v>888</v>
      </c>
    </row>
    <row r="207" spans="1:21">
      <c r="A207" s="12" t="str">
        <f t="shared" si="19"/>
        <v>B</v>
      </c>
      <c r="B207" s="12" t="str">
        <f>IF(IFERROR(HLOOKUP(B$2,$M$2:$BL207,$J207,FALSE),"")="","",IFERROR(HLOOKUP(B$2,$M$2:$BL207,$J207,FALSE),""))</f>
        <v/>
      </c>
      <c r="C207" s="12" t="str">
        <f>IF(IFERROR(HLOOKUP(C$2,$M$2:$BL207,$J207,FALSE),"")="","",IFERROR(HLOOKUP(C$2,$M$2:$BL207,$J207,FALSE),""))</f>
        <v/>
      </c>
      <c r="D207" s="12" t="str">
        <f>IF(IFERROR(HLOOKUP(D$2,$M$2:$BL207,$J207,FALSE),"")="","",IFERROR(HLOOKUP(D$2,$M$2:$BL207,$J207,FALSE),""))</f>
        <v/>
      </c>
      <c r="E207" s="12" t="str">
        <f>IF(IFERROR(HLOOKUP(E$2,$M$2:$BL207,$J207,FALSE),"")="","",IFERROR(HLOOKUP(E$2,$M$2:$BL207,$J207,FALSE),""))</f>
        <v/>
      </c>
      <c r="F207" s="12" t="str">
        <f>IF(IFERROR(HLOOKUP(F$2,$M$2:$BL207,$J207,FALSE),"")="","",IFERROR(HLOOKUP(F$2,$M$2:$BL207,$J207,FALSE),""))</f>
        <v/>
      </c>
      <c r="G207" s="12" t="str">
        <f>IF(IFERROR(HLOOKUP(G$2,$M$2:$BL207,$J207,FALSE),"")="","",IFERROR(HLOOKUP(G$2,$M$2:$BL207,$J207,FALSE),""))</f>
        <v/>
      </c>
      <c r="J207" s="12">
        <f t="shared" si="20"/>
        <v>206</v>
      </c>
      <c r="U207" s="12" t="s">
        <v>587</v>
      </c>
    </row>
    <row r="208" spans="1:21">
      <c r="A208" s="12" t="str">
        <f t="shared" si="19"/>
        <v>CCC and below</v>
      </c>
      <c r="B208" s="12" t="str">
        <f>IF(IFERROR(HLOOKUP(B$2,$M$2:$BL208,$J208,FALSE),"")="","",IFERROR(HLOOKUP(B$2,$M$2:$BL208,$J208,FALSE),""))</f>
        <v/>
      </c>
      <c r="C208" s="12" t="str">
        <f>IF(IFERROR(HLOOKUP(C$2,$M$2:$BL208,$J208,FALSE),"")="","",IFERROR(HLOOKUP(C$2,$M$2:$BL208,$J208,FALSE),""))</f>
        <v/>
      </c>
      <c r="D208" s="12" t="str">
        <f>IF(IFERROR(HLOOKUP(D$2,$M$2:$BL208,$J208,FALSE),"")="","",IFERROR(HLOOKUP(D$2,$M$2:$BL208,$J208,FALSE),""))</f>
        <v/>
      </c>
      <c r="E208" s="12" t="str">
        <f>IF(IFERROR(HLOOKUP(E$2,$M$2:$BL208,$J208,FALSE),"")="","",IFERROR(HLOOKUP(E$2,$M$2:$BL208,$J208,FALSE),""))</f>
        <v/>
      </c>
      <c r="F208" s="12" t="str">
        <f>IF(IFERROR(HLOOKUP(F$2,$M$2:$BL208,$J208,FALSE),"")="","",IFERROR(HLOOKUP(F$2,$M$2:$BL208,$J208,FALSE),""))</f>
        <v/>
      </c>
      <c r="G208" s="12" t="str">
        <f>IF(IFERROR(HLOOKUP(G$2,$M$2:$BL208,$J208,FALSE),"")="","",IFERROR(HLOOKUP(G$2,$M$2:$BL208,$J208,FALSE),""))</f>
        <v/>
      </c>
      <c r="J208" s="12">
        <f t="shared" si="20"/>
        <v>207</v>
      </c>
      <c r="U208" s="12" t="s">
        <v>148</v>
      </c>
    </row>
    <row r="209" spans="1:21" s="15" customFormat="1">
      <c r="A209" s="18" t="str">
        <f t="shared" si="19"/>
        <v>Factor 5</v>
      </c>
      <c r="B209" s="15" t="str">
        <f>IF(IFERROR(HLOOKUP(B$2,$M$2:$BL209,$J209,FALSE),"")="","",IFERROR(HLOOKUP(B$2,$M$2:$BL209,$J209,FALSE),""))</f>
        <v/>
      </c>
      <c r="C209" s="18" t="str">
        <f>IF(IFERROR(HLOOKUP(C$2,$M$2:$BL209,$J209,FALSE),"")="","",IFERROR(HLOOKUP(C$2,$M$2:$BL209,$J209,FALSE),""))</f>
        <v/>
      </c>
      <c r="D209" s="18" t="str">
        <f>IF(IFERROR(HLOOKUP(D$2,$M$2:$BL209,$J209,FALSE),"")="","",IFERROR(HLOOKUP(D$2,$M$2:$BL209,$J209,FALSE),""))</f>
        <v/>
      </c>
      <c r="E209" s="18" t="str">
        <f>IF(IFERROR(HLOOKUP(E$2,$M$2:$BL209,$J209,FALSE),"")="","",IFERROR(HLOOKUP(E$2,$M$2:$BL209,$J209,FALSE),""))</f>
        <v/>
      </c>
      <c r="F209" s="18" t="str">
        <f>IF(IFERROR(HLOOKUP(F$2,$M$2:$BL209,$J209,FALSE),"")="","",IFERROR(HLOOKUP(F$2,$M$2:$BL209,$J209,FALSE),""))</f>
        <v/>
      </c>
      <c r="G209" s="18" t="str">
        <f>IF(IFERROR(HLOOKUP(G$2,$M$2:$BL209,$J209,FALSE),"")="","",IFERROR(HLOOKUP(G$2,$M$2:$BL209,$J209,FALSE),""))</f>
        <v/>
      </c>
      <c r="H209" s="18"/>
      <c r="J209" s="15">
        <f t="shared" si="20"/>
        <v>208</v>
      </c>
    </row>
    <row r="210" spans="1:21">
      <c r="A210" s="12" t="str">
        <f t="shared" si="19"/>
        <v>AA and above</v>
      </c>
      <c r="B210" s="12" t="str">
        <f>IF(IFERROR(HLOOKUP(B$2,$M$2:$BL210,$J210,FALSE),"")="","",IFERROR(HLOOKUP(B$2,$M$2:$BL210,$J210,FALSE),""))</f>
        <v/>
      </c>
      <c r="C210" s="12" t="str">
        <f>IF(IFERROR(HLOOKUP(C$2,$M$2:$BL210,$J210,FALSE),"")="","",IFERROR(HLOOKUP(C$2,$M$2:$BL210,$J210,FALSE),""))</f>
        <v/>
      </c>
      <c r="D210" s="12" t="str">
        <f>IF(IFERROR(HLOOKUP(D$2,$M$2:$BL210,$J210,FALSE),"")="","",IFERROR(HLOOKUP(D$2,$M$2:$BL210,$J210,FALSE),""))</f>
        <v/>
      </c>
      <c r="E210" s="12" t="str">
        <f>IF(IFERROR(HLOOKUP(E$2,$M$2:$BL210,$J210,FALSE),"")="","",IFERROR(HLOOKUP(E$2,$M$2:$BL210,$J210,FALSE),""))</f>
        <v/>
      </c>
      <c r="F210" s="12" t="str">
        <f>IF(IFERROR(HLOOKUP(F$2,$M$2:$BL210,$J210,FALSE),"")="","",IFERROR(HLOOKUP(F$2,$M$2:$BL210,$J210,FALSE),""))</f>
        <v/>
      </c>
      <c r="G210" s="12" t="str">
        <f>IF(IFERROR(HLOOKUP(G$2,$M$2:$BL210,$J210,FALSE),"")="","",IFERROR(HLOOKUP(G$2,$M$2:$BL210,$J210,FALSE),""))</f>
        <v/>
      </c>
      <c r="J210" s="12">
        <f t="shared" si="20"/>
        <v>209</v>
      </c>
    </row>
    <row r="211" spans="1:21">
      <c r="A211" s="12" t="str">
        <f t="shared" si="19"/>
        <v>A</v>
      </c>
      <c r="B211" s="12" t="str">
        <f>IF(IFERROR(HLOOKUP(B$2,$M$2:$BL211,$J211,FALSE),"")="","",IFERROR(HLOOKUP(B$2,$M$2:$BL211,$J211,FALSE),""))</f>
        <v/>
      </c>
      <c r="C211" s="12" t="str">
        <f>IF(IFERROR(HLOOKUP(C$2,$M$2:$BL211,$J211,FALSE),"")="","",IFERROR(HLOOKUP(C$2,$M$2:$BL211,$J211,FALSE),""))</f>
        <v/>
      </c>
      <c r="D211" s="12" t="str">
        <f>IF(IFERROR(HLOOKUP(D$2,$M$2:$BL211,$J211,FALSE),"")="","",IFERROR(HLOOKUP(D$2,$M$2:$BL211,$J211,FALSE),""))</f>
        <v/>
      </c>
      <c r="E211" s="12" t="str">
        <f>IF(IFERROR(HLOOKUP(E$2,$M$2:$BL211,$J211,FALSE),"")="","",IFERROR(HLOOKUP(E$2,$M$2:$BL211,$J211,FALSE),""))</f>
        <v/>
      </c>
      <c r="F211" s="12" t="str">
        <f>IF(IFERROR(HLOOKUP(F$2,$M$2:$BL211,$J211,FALSE),"")="","",IFERROR(HLOOKUP(F$2,$M$2:$BL211,$J211,FALSE),""))</f>
        <v/>
      </c>
      <c r="G211" s="12" t="str">
        <f>IF(IFERROR(HLOOKUP(G$2,$M$2:$BL211,$J211,FALSE),"")="","",IFERROR(HLOOKUP(G$2,$M$2:$BL211,$J211,FALSE),""))</f>
        <v/>
      </c>
      <c r="J211" s="12">
        <f t="shared" si="20"/>
        <v>210</v>
      </c>
    </row>
    <row r="212" spans="1:21">
      <c r="A212" s="12" t="str">
        <f t="shared" si="19"/>
        <v>BBB</v>
      </c>
      <c r="B212" s="12" t="str">
        <f>IF(IFERROR(HLOOKUP(B$2,$M$2:$BL212,$J212,FALSE),"")="","",IFERROR(HLOOKUP(B$2,$M$2:$BL212,$J212,FALSE),""))</f>
        <v/>
      </c>
      <c r="C212" s="12" t="str">
        <f>IF(IFERROR(HLOOKUP(C$2,$M$2:$BL212,$J212,FALSE),"")="","",IFERROR(HLOOKUP(C$2,$M$2:$BL212,$J212,FALSE),""))</f>
        <v/>
      </c>
      <c r="D212" s="12" t="str">
        <f>IF(IFERROR(HLOOKUP(D$2,$M$2:$BL212,$J212,FALSE),"")="","",IFERROR(HLOOKUP(D$2,$M$2:$BL212,$J212,FALSE),""))</f>
        <v/>
      </c>
      <c r="E212" s="12" t="str">
        <f>IF(IFERROR(HLOOKUP(E$2,$M$2:$BL212,$J212,FALSE),"")="","",IFERROR(HLOOKUP(E$2,$M$2:$BL212,$J212,FALSE),""))</f>
        <v/>
      </c>
      <c r="F212" s="12" t="str">
        <f>IF(IFERROR(HLOOKUP(F$2,$M$2:$BL212,$J212,FALSE),"")="","",IFERROR(HLOOKUP(F$2,$M$2:$BL212,$J212,FALSE),""))</f>
        <v/>
      </c>
      <c r="G212" s="12" t="str">
        <f>IF(IFERROR(HLOOKUP(G$2,$M$2:$BL212,$J212,FALSE),"")="","",IFERROR(HLOOKUP(G$2,$M$2:$BL212,$J212,FALSE),""))</f>
        <v/>
      </c>
      <c r="J212" s="12">
        <f t="shared" si="20"/>
        <v>211</v>
      </c>
    </row>
    <row r="213" spans="1:21">
      <c r="A213" s="12" t="str">
        <f t="shared" si="19"/>
        <v>BB</v>
      </c>
      <c r="B213" s="12" t="str">
        <f>IF(IFERROR(HLOOKUP(B$2,$M$2:$BL213,$J213,FALSE),"")="","",IFERROR(HLOOKUP(B$2,$M$2:$BL213,$J213,FALSE),""))</f>
        <v/>
      </c>
      <c r="C213" s="12" t="str">
        <f>IF(IFERROR(HLOOKUP(C$2,$M$2:$BL213,$J213,FALSE),"")="","",IFERROR(HLOOKUP(C$2,$M$2:$BL213,$J213,FALSE),""))</f>
        <v/>
      </c>
      <c r="D213" s="12" t="str">
        <f>IF(IFERROR(HLOOKUP(D$2,$M$2:$BL213,$J213,FALSE),"")="","",IFERROR(HLOOKUP(D$2,$M$2:$BL213,$J213,FALSE),""))</f>
        <v/>
      </c>
      <c r="E213" s="12" t="str">
        <f>IF(IFERROR(HLOOKUP(E$2,$M$2:$BL213,$J213,FALSE),"")="","",IFERROR(HLOOKUP(E$2,$M$2:$BL213,$J213,FALSE),""))</f>
        <v/>
      </c>
      <c r="F213" s="12" t="str">
        <f>IF(IFERROR(HLOOKUP(F$2,$M$2:$BL213,$J213,FALSE),"")="","",IFERROR(HLOOKUP(F$2,$M$2:$BL213,$J213,FALSE),""))</f>
        <v/>
      </c>
      <c r="G213" s="12" t="str">
        <f>IF(IFERROR(HLOOKUP(G$2,$M$2:$BL213,$J213,FALSE),"")="","",IFERROR(HLOOKUP(G$2,$M$2:$BL213,$J213,FALSE),""))</f>
        <v/>
      </c>
      <c r="J213" s="12">
        <f t="shared" si="20"/>
        <v>212</v>
      </c>
    </row>
    <row r="214" spans="1:21">
      <c r="A214" s="12" t="str">
        <f t="shared" si="19"/>
        <v>B</v>
      </c>
      <c r="B214" s="12" t="str">
        <f>IF(IFERROR(HLOOKUP(B$2,$M$2:$BL214,$J214,FALSE),"")="","",IFERROR(HLOOKUP(B$2,$M$2:$BL214,$J214,FALSE),""))</f>
        <v/>
      </c>
      <c r="C214" s="12" t="str">
        <f>IF(IFERROR(HLOOKUP(C$2,$M$2:$BL214,$J214,FALSE),"")="","",IFERROR(HLOOKUP(C$2,$M$2:$BL214,$J214,FALSE),""))</f>
        <v/>
      </c>
      <c r="D214" s="12" t="str">
        <f>IF(IFERROR(HLOOKUP(D$2,$M$2:$BL214,$J214,FALSE),"")="","",IFERROR(HLOOKUP(D$2,$M$2:$BL214,$J214,FALSE),""))</f>
        <v/>
      </c>
      <c r="E214" s="12" t="str">
        <f>IF(IFERROR(HLOOKUP(E$2,$M$2:$BL214,$J214,FALSE),"")="","",IFERROR(HLOOKUP(E$2,$M$2:$BL214,$J214,FALSE),""))</f>
        <v/>
      </c>
      <c r="F214" s="12" t="str">
        <f>IF(IFERROR(HLOOKUP(F$2,$M$2:$BL214,$J214,FALSE),"")="","",IFERROR(HLOOKUP(F$2,$M$2:$BL214,$J214,FALSE),""))</f>
        <v/>
      </c>
      <c r="G214" s="12" t="str">
        <f>IF(IFERROR(HLOOKUP(G$2,$M$2:$BL214,$J214,FALSE),"")="","",IFERROR(HLOOKUP(G$2,$M$2:$BL214,$J214,FALSE),""))</f>
        <v/>
      </c>
      <c r="J214" s="12">
        <f t="shared" si="20"/>
        <v>213</v>
      </c>
    </row>
    <row r="215" spans="1:21">
      <c r="A215" s="12" t="str">
        <f t="shared" si="19"/>
        <v>CCC and below</v>
      </c>
      <c r="B215" s="12" t="str">
        <f>IF(IFERROR(HLOOKUP(B$2,$M$2:$BL215,$J215,FALSE),"")="","",IFERROR(HLOOKUP(B$2,$M$2:$BL215,$J215,FALSE),""))</f>
        <v/>
      </c>
      <c r="C215" s="12" t="str">
        <f>IF(IFERROR(HLOOKUP(C$2,$M$2:$BL215,$J215,FALSE),"")="","",IFERROR(HLOOKUP(C$2,$M$2:$BL215,$J215,FALSE),""))</f>
        <v/>
      </c>
      <c r="D215" s="12" t="str">
        <f>IF(IFERROR(HLOOKUP(D$2,$M$2:$BL215,$J215,FALSE),"")="","",IFERROR(HLOOKUP(D$2,$M$2:$BL215,$J215,FALSE),""))</f>
        <v/>
      </c>
      <c r="E215" s="12" t="str">
        <f>IF(IFERROR(HLOOKUP(E$2,$M$2:$BL215,$J215,FALSE),"")="","",IFERROR(HLOOKUP(E$2,$M$2:$BL215,$J215,FALSE),""))</f>
        <v/>
      </c>
      <c r="F215" s="12" t="str">
        <f>IF(IFERROR(HLOOKUP(F$2,$M$2:$BL215,$J215,FALSE),"")="","",IFERROR(HLOOKUP(F$2,$M$2:$BL215,$J215,FALSE),""))</f>
        <v/>
      </c>
      <c r="G215" s="12" t="str">
        <f>IF(IFERROR(HLOOKUP(G$2,$M$2:$BL215,$J215,FALSE),"")="","",IFERROR(HLOOKUP(G$2,$M$2:$BL215,$J215,FALSE),""))</f>
        <v/>
      </c>
      <c r="J215" s="12">
        <f t="shared" si="20"/>
        <v>214</v>
      </c>
    </row>
    <row r="218" spans="1:21">
      <c r="A218" s="20" t="s">
        <v>919</v>
      </c>
      <c r="U218" s="14" t="s">
        <v>920</v>
      </c>
    </row>
    <row r="219" spans="1:21" s="15" customFormat="1">
      <c r="A219" s="18" t="str">
        <f t="shared" ref="A219:A253" si="21">+A181</f>
        <v>Factor 1</v>
      </c>
      <c r="B219" s="15" t="str">
        <f>IF(IFERROR(HLOOKUP(B$2,$M$2:$BL219,$J219,FALSE),"")="","",IFERROR(HLOOKUP(B$2,$M$2:$BL219,$J219,FALSE),""))</f>
        <v/>
      </c>
      <c r="C219" s="15" t="str">
        <f>IF(IFERROR(HLOOKUP(C$2,$M$2:$BL219,$J219,FALSE),"")="","",IFERROR(HLOOKUP(C$2,$M$2:$BL219,$J219,FALSE),""))</f>
        <v/>
      </c>
      <c r="D219" s="15" t="str">
        <f>IF(IFERROR(HLOOKUP(D$2,$M$2:$BL219,$J219,FALSE),"")="","",IFERROR(HLOOKUP(D$2,$M$2:$BL219,$J219,FALSE),""))</f>
        <v/>
      </c>
      <c r="E219" s="15" t="str">
        <f>IF(IFERROR(HLOOKUP(E$2,$M$2:$BL219,$J219,FALSE),"")="","",IFERROR(HLOOKUP(E$2,$M$2:$BL219,$J219,FALSE),""))</f>
        <v/>
      </c>
      <c r="F219" s="15" t="str">
        <f>IF(IFERROR(HLOOKUP(F$2,$M$2:$BL219,$J219,FALSE),"")="","",IFERROR(HLOOKUP(F$2,$M$2:$BL219,$J219,FALSE),""))</f>
        <v/>
      </c>
      <c r="G219" s="15" t="str">
        <f>IF(IFERROR(HLOOKUP(G$2,$M$2:$BL219,$J219,FALSE),"")="","",IFERROR(HLOOKUP(G$2,$M$2:$BL219,$J219,FALSE),""))</f>
        <v/>
      </c>
      <c r="U219" s="15" t="s">
        <v>921</v>
      </c>
    </row>
    <row r="220" spans="1:21">
      <c r="A220" s="12" t="str">
        <f t="shared" si="21"/>
        <v>AA and above</v>
      </c>
      <c r="B220" s="12" t="str">
        <f>IF(IFERROR(HLOOKUP(B$2,$M$2:$BL220,$J220,FALSE),"")="","",IFERROR(HLOOKUP(B$2,$M$2:$BL220,$J220,FALSE),""))</f>
        <v/>
      </c>
      <c r="C220" s="12" t="str">
        <f>IF(IFERROR(HLOOKUP(C$2,$M$2:$BL220,$J220,FALSE),"")="","",IFERROR(HLOOKUP(C$2,$M$2:$BL220,$J220,FALSE),""))</f>
        <v/>
      </c>
      <c r="D220" s="12" t="str">
        <f>IF(IFERROR(HLOOKUP(D$2,$M$2:$BL220,$J220,FALSE),"")="","",IFERROR(HLOOKUP(D$2,$M$2:$BL220,$J220,FALSE),""))</f>
        <v/>
      </c>
      <c r="E220" s="12" t="str">
        <f>IF(IFERROR(HLOOKUP(E$2,$M$2:$BL220,$J220,FALSE),"")="","",IFERROR(HLOOKUP(E$2,$M$2:$BL220,$J220,FALSE),""))</f>
        <v/>
      </c>
      <c r="F220" s="12" t="str">
        <f>IF(IFERROR(HLOOKUP(F$2,$M$2:$BL220,$J220,FALSE),"")="","",IFERROR(HLOOKUP(F$2,$M$2:$BL220,$J220,FALSE),""))</f>
        <v/>
      </c>
      <c r="G220" s="12" t="str">
        <f>IF(IFERROR(HLOOKUP(G$2,$M$2:$BL220,$J220,FALSE),"")="","",IFERROR(HLOOKUP(G$2,$M$2:$BL220,$J220,FALSE),""))</f>
        <v/>
      </c>
      <c r="U220" s="12" t="s">
        <v>830</v>
      </c>
    </row>
    <row r="221" spans="1:21">
      <c r="A221" s="12" t="str">
        <f t="shared" si="21"/>
        <v>A</v>
      </c>
      <c r="B221" s="12" t="str">
        <f>IF(IFERROR(HLOOKUP(B$2,$M$2:$BL221,$J221,FALSE),"")="","",IFERROR(HLOOKUP(B$2,$M$2:$BL221,$J221,FALSE),""))</f>
        <v/>
      </c>
      <c r="C221" s="12" t="str">
        <f>IF(IFERROR(HLOOKUP(C$2,$M$2:$BL221,$J221,FALSE),"")="","",IFERROR(HLOOKUP(C$2,$M$2:$BL221,$J221,FALSE),""))</f>
        <v/>
      </c>
      <c r="D221" s="12" t="str">
        <f>IF(IFERROR(HLOOKUP(D$2,$M$2:$BL221,$J221,FALSE),"")="","",IFERROR(HLOOKUP(D$2,$M$2:$BL221,$J221,FALSE),""))</f>
        <v/>
      </c>
      <c r="E221" s="12" t="str">
        <f>IF(IFERROR(HLOOKUP(E$2,$M$2:$BL221,$J221,FALSE),"")="","",IFERROR(HLOOKUP(E$2,$M$2:$BL221,$J221,FALSE),""))</f>
        <v/>
      </c>
      <c r="F221" s="12" t="str">
        <f>IF(IFERROR(HLOOKUP(F$2,$M$2:$BL221,$J221,FALSE),"")="","",IFERROR(HLOOKUP(F$2,$M$2:$BL221,$J221,FALSE),""))</f>
        <v/>
      </c>
      <c r="G221" s="12" t="str">
        <f>IF(IFERROR(HLOOKUP(G$2,$M$2:$BL221,$J221,FALSE),"")="","",IFERROR(HLOOKUP(G$2,$M$2:$BL221,$J221,FALSE),""))</f>
        <v/>
      </c>
      <c r="U221" s="12" t="s">
        <v>892</v>
      </c>
    </row>
    <row r="222" spans="1:21">
      <c r="A222" s="12" t="str">
        <f t="shared" si="21"/>
        <v>BBB</v>
      </c>
      <c r="B222" s="12" t="str">
        <f>IF(IFERROR(HLOOKUP(B$2,$M$2:$BL222,$J222,FALSE),"")="","",IFERROR(HLOOKUP(B$2,$M$2:$BL222,$J222,FALSE),""))</f>
        <v/>
      </c>
      <c r="C222" s="12" t="str">
        <f>IF(IFERROR(HLOOKUP(C$2,$M$2:$BL222,$J222,FALSE),"")="","",IFERROR(HLOOKUP(C$2,$M$2:$BL222,$J222,FALSE),""))</f>
        <v/>
      </c>
      <c r="D222" s="12" t="str">
        <f>IF(IFERROR(HLOOKUP(D$2,$M$2:$BL222,$J222,FALSE),"")="","",IFERROR(HLOOKUP(D$2,$M$2:$BL222,$J222,FALSE),""))</f>
        <v/>
      </c>
      <c r="E222" s="12" t="str">
        <f>IF(IFERROR(HLOOKUP(E$2,$M$2:$BL222,$J222,FALSE),"")="","",IFERROR(HLOOKUP(E$2,$M$2:$BL222,$J222,FALSE),""))</f>
        <v/>
      </c>
      <c r="F222" s="12" t="str">
        <f>IF(IFERROR(HLOOKUP(F$2,$M$2:$BL222,$J222,FALSE),"")="","",IFERROR(HLOOKUP(F$2,$M$2:$BL222,$J222,FALSE),""))</f>
        <v/>
      </c>
      <c r="G222" s="12" t="str">
        <f>IF(IFERROR(HLOOKUP(G$2,$M$2:$BL222,$J222,FALSE),"")="","",IFERROR(HLOOKUP(G$2,$M$2:$BL222,$J222,FALSE),""))</f>
        <v/>
      </c>
      <c r="U222" s="12" t="s">
        <v>888</v>
      </c>
    </row>
    <row r="223" spans="1:21">
      <c r="A223" s="12" t="str">
        <f t="shared" si="21"/>
        <v>BB</v>
      </c>
      <c r="B223" s="12" t="str">
        <f>IF(IFERROR(HLOOKUP(B$2,$M$2:$BL223,$J223,FALSE),"")="","",IFERROR(HLOOKUP(B$2,$M$2:$BL223,$J223,FALSE),""))</f>
        <v/>
      </c>
      <c r="C223" s="12" t="str">
        <f>IF(IFERROR(HLOOKUP(C$2,$M$2:$BL223,$J223,FALSE),"")="","",IFERROR(HLOOKUP(C$2,$M$2:$BL223,$J223,FALSE),""))</f>
        <v/>
      </c>
      <c r="D223" s="12" t="str">
        <f>IF(IFERROR(HLOOKUP(D$2,$M$2:$BL223,$J223,FALSE),"")="","",IFERROR(HLOOKUP(D$2,$M$2:$BL223,$J223,FALSE),""))</f>
        <v/>
      </c>
      <c r="E223" s="12" t="str">
        <f>IF(IFERROR(HLOOKUP(E$2,$M$2:$BL223,$J223,FALSE),"")="","",IFERROR(HLOOKUP(E$2,$M$2:$BL223,$J223,FALSE),""))</f>
        <v/>
      </c>
      <c r="F223" s="12" t="str">
        <f>IF(IFERROR(HLOOKUP(F$2,$M$2:$BL223,$J223,FALSE),"")="","",IFERROR(HLOOKUP(F$2,$M$2:$BL223,$J223,FALSE),""))</f>
        <v/>
      </c>
      <c r="G223" s="12" t="str">
        <f>IF(IFERROR(HLOOKUP(G$2,$M$2:$BL223,$J223,FALSE),"")="","",IFERROR(HLOOKUP(G$2,$M$2:$BL223,$J223,FALSE),""))</f>
        <v/>
      </c>
      <c r="U223" s="12" t="s">
        <v>468</v>
      </c>
    </row>
    <row r="224" spans="1:21">
      <c r="A224" s="12" t="str">
        <f t="shared" si="21"/>
        <v>B</v>
      </c>
      <c r="B224" s="12" t="str">
        <f>IF(IFERROR(HLOOKUP(B$2,$M$2:$BL224,$J224,FALSE),"")="","",IFERROR(HLOOKUP(B$2,$M$2:$BL224,$J224,FALSE),""))</f>
        <v/>
      </c>
      <c r="C224" s="12" t="str">
        <f>IF(IFERROR(HLOOKUP(C$2,$M$2:$BL224,$J224,FALSE),"")="","",IFERROR(HLOOKUP(C$2,$M$2:$BL224,$J224,FALSE),""))</f>
        <v/>
      </c>
      <c r="D224" s="12" t="str">
        <f>IF(IFERROR(HLOOKUP(D$2,$M$2:$BL224,$J224,FALSE),"")="","",IFERROR(HLOOKUP(D$2,$M$2:$BL224,$J224,FALSE),""))</f>
        <v/>
      </c>
      <c r="E224" s="12" t="str">
        <f>IF(IFERROR(HLOOKUP(E$2,$M$2:$BL224,$J224,FALSE),"")="","",IFERROR(HLOOKUP(E$2,$M$2:$BL224,$J224,FALSE),""))</f>
        <v/>
      </c>
      <c r="F224" s="12" t="str">
        <f>IF(IFERROR(HLOOKUP(F$2,$M$2:$BL224,$J224,FALSE),"")="","",IFERROR(HLOOKUP(F$2,$M$2:$BL224,$J224,FALSE),""))</f>
        <v/>
      </c>
      <c r="G224" s="12" t="str">
        <f>IF(IFERROR(HLOOKUP(G$2,$M$2:$BL224,$J224,FALSE),"")="","",IFERROR(HLOOKUP(G$2,$M$2:$BL224,$J224,FALSE),""))</f>
        <v/>
      </c>
      <c r="U224" s="12" t="s">
        <v>849</v>
      </c>
    </row>
    <row r="225" spans="1:21">
      <c r="A225" s="12" t="str">
        <f t="shared" si="21"/>
        <v>CCC and below</v>
      </c>
      <c r="B225" s="12" t="str">
        <f>IF(IFERROR(HLOOKUP(B$2,$M$2:$BL225,$J225,FALSE),"")="","",IFERROR(HLOOKUP(B$2,$M$2:$BL225,$J225,FALSE),""))</f>
        <v/>
      </c>
      <c r="C225" s="12" t="str">
        <f>IF(IFERROR(HLOOKUP(C$2,$M$2:$BL225,$J225,FALSE),"")="","",IFERROR(HLOOKUP(C$2,$M$2:$BL225,$J225,FALSE),""))</f>
        <v/>
      </c>
      <c r="D225" s="12" t="str">
        <f>IF(IFERROR(HLOOKUP(D$2,$M$2:$BL225,$J225,FALSE),"")="","",IFERROR(HLOOKUP(D$2,$M$2:$BL225,$J225,FALSE),""))</f>
        <v/>
      </c>
      <c r="E225" s="12" t="str">
        <f>IF(IFERROR(HLOOKUP(E$2,$M$2:$BL225,$J225,FALSE),"")="","",IFERROR(HLOOKUP(E$2,$M$2:$BL225,$J225,FALSE),""))</f>
        <v/>
      </c>
      <c r="F225" s="12" t="str">
        <f>IF(IFERROR(HLOOKUP(F$2,$M$2:$BL225,$J225,FALSE),"")="","",IFERROR(HLOOKUP(F$2,$M$2:$BL225,$J225,FALSE),""))</f>
        <v/>
      </c>
      <c r="G225" s="12" t="str">
        <f>IF(IFERROR(HLOOKUP(G$2,$M$2:$BL225,$J225,FALSE),"")="","",IFERROR(HLOOKUP(G$2,$M$2:$BL225,$J225,FALSE),""))</f>
        <v/>
      </c>
      <c r="U225" s="12" t="s">
        <v>148</v>
      </c>
    </row>
    <row r="226" spans="1:21" s="15" customFormat="1">
      <c r="A226" s="18" t="str">
        <f t="shared" si="21"/>
        <v>Factor 2</v>
      </c>
      <c r="B226" s="15" t="str">
        <f>IF(IFERROR(HLOOKUP(B$2,$M$2:$BL226,$J226,FALSE),"")="","",IFERROR(HLOOKUP(B$2,$M$2:$BL226,$J226,FALSE),""))</f>
        <v/>
      </c>
      <c r="C226" s="15" t="str">
        <f>IF(IFERROR(HLOOKUP(C$2,$M$2:$BL226,$J226,FALSE),"")="","",IFERROR(HLOOKUP(C$2,$M$2:$BL226,$J226,FALSE),""))</f>
        <v/>
      </c>
      <c r="D226" s="15" t="str">
        <f>IF(IFERROR(HLOOKUP(D$2,$M$2:$BL226,$J226,FALSE),"")="","",IFERROR(HLOOKUP(D$2,$M$2:$BL226,$J226,FALSE),""))</f>
        <v/>
      </c>
      <c r="E226" s="15" t="str">
        <f>IF(IFERROR(HLOOKUP(E$2,$M$2:$BL226,$J226,FALSE),"")="","",IFERROR(HLOOKUP(E$2,$M$2:$BL226,$J226,FALSE),""))</f>
        <v/>
      </c>
      <c r="F226" s="15" t="str">
        <f>IF(IFERROR(HLOOKUP(F$2,$M$2:$BL226,$J226,FALSE),"")="","",IFERROR(HLOOKUP(F$2,$M$2:$BL226,$J226,FALSE),""))</f>
        <v/>
      </c>
      <c r="G226" s="15" t="str">
        <f>IF(IFERROR(HLOOKUP(G$2,$M$2:$BL226,$J226,FALSE),"")="","",IFERROR(HLOOKUP(G$2,$M$2:$BL226,$J226,FALSE),""))</f>
        <v/>
      </c>
      <c r="U226" s="15" t="s">
        <v>922</v>
      </c>
    </row>
    <row r="227" spans="1:21">
      <c r="A227" s="12" t="str">
        <f t="shared" si="21"/>
        <v>AA and above</v>
      </c>
      <c r="B227" s="12" t="str">
        <f>IF(IFERROR(HLOOKUP(B$2,$M$2:$BL227,$J227,FALSE),"")="","",IFERROR(HLOOKUP(B$2,$M$2:$BL227,$J227,FALSE),""))</f>
        <v/>
      </c>
      <c r="C227" s="12" t="str">
        <f>IF(IFERROR(HLOOKUP(C$2,$M$2:$BL227,$J227,FALSE),"")="","",IFERROR(HLOOKUP(C$2,$M$2:$BL227,$J227,FALSE),""))</f>
        <v/>
      </c>
      <c r="D227" s="12" t="str">
        <f>IF(IFERROR(HLOOKUP(D$2,$M$2:$BL227,$J227,FALSE),"")="","",IFERROR(HLOOKUP(D$2,$M$2:$BL227,$J227,FALSE),""))</f>
        <v/>
      </c>
      <c r="E227" s="12" t="str">
        <f>IF(IFERROR(HLOOKUP(E$2,$M$2:$BL227,$J227,FALSE),"")="","",IFERROR(HLOOKUP(E$2,$M$2:$BL227,$J227,FALSE),""))</f>
        <v/>
      </c>
      <c r="F227" s="12" t="str">
        <f>IF(IFERROR(HLOOKUP(F$2,$M$2:$BL227,$J227,FALSE),"")="","",IFERROR(HLOOKUP(F$2,$M$2:$BL227,$J227,FALSE),""))</f>
        <v/>
      </c>
      <c r="G227" s="12" t="str">
        <f>IF(IFERROR(HLOOKUP(G$2,$M$2:$BL227,$J227,FALSE),"")="","",IFERROR(HLOOKUP(G$2,$M$2:$BL227,$J227,FALSE),""))</f>
        <v/>
      </c>
      <c r="U227" s="12" t="s">
        <v>923</v>
      </c>
    </row>
    <row r="228" spans="1:21">
      <c r="A228" s="12" t="str">
        <f t="shared" si="21"/>
        <v>A</v>
      </c>
      <c r="B228" s="12" t="str">
        <f>IF(IFERROR(HLOOKUP(B$2,$M$2:$BL228,$J228,FALSE),"")="","",IFERROR(HLOOKUP(B$2,$M$2:$BL228,$J228,FALSE),""))</f>
        <v/>
      </c>
      <c r="C228" s="12" t="str">
        <f>IF(IFERROR(HLOOKUP(C$2,$M$2:$BL228,$J228,FALSE),"")="","",IFERROR(HLOOKUP(C$2,$M$2:$BL228,$J228,FALSE),""))</f>
        <v/>
      </c>
      <c r="D228" s="12" t="str">
        <f>IF(IFERROR(HLOOKUP(D$2,$M$2:$BL228,$J228,FALSE),"")="","",IFERROR(HLOOKUP(D$2,$M$2:$BL228,$J228,FALSE),""))</f>
        <v/>
      </c>
      <c r="E228" s="12" t="str">
        <f>IF(IFERROR(HLOOKUP(E$2,$M$2:$BL228,$J228,FALSE),"")="","",IFERROR(HLOOKUP(E$2,$M$2:$BL228,$J228,FALSE),""))</f>
        <v/>
      </c>
      <c r="F228" s="12" t="str">
        <f>IF(IFERROR(HLOOKUP(F$2,$M$2:$BL228,$J228,FALSE),"")="","",IFERROR(HLOOKUP(F$2,$M$2:$BL228,$J228,FALSE),""))</f>
        <v/>
      </c>
      <c r="G228" s="12" t="str">
        <f>IF(IFERROR(HLOOKUP(G$2,$M$2:$BL228,$J228,FALSE),"")="","",IFERROR(HLOOKUP(G$2,$M$2:$BL228,$J228,FALSE),""))</f>
        <v/>
      </c>
      <c r="U228" s="12" t="s">
        <v>923</v>
      </c>
    </row>
    <row r="229" spans="1:21">
      <c r="A229" s="12" t="str">
        <f t="shared" si="21"/>
        <v>BBB</v>
      </c>
      <c r="B229" s="12" t="str">
        <f>IF(IFERROR(HLOOKUP(B$2,$M$2:$BL229,$J229,FALSE),"")="","",IFERROR(HLOOKUP(B$2,$M$2:$BL229,$J229,FALSE),""))</f>
        <v/>
      </c>
      <c r="C229" s="12" t="str">
        <f>IF(IFERROR(HLOOKUP(C$2,$M$2:$BL229,$J229,FALSE),"")="","",IFERROR(HLOOKUP(C$2,$M$2:$BL229,$J229,FALSE),""))</f>
        <v/>
      </c>
      <c r="D229" s="12" t="str">
        <f>IF(IFERROR(HLOOKUP(D$2,$M$2:$BL229,$J229,FALSE),"")="","",IFERROR(HLOOKUP(D$2,$M$2:$BL229,$J229,FALSE),""))</f>
        <v/>
      </c>
      <c r="E229" s="12" t="str">
        <f>IF(IFERROR(HLOOKUP(E$2,$M$2:$BL229,$J229,FALSE),"")="","",IFERROR(HLOOKUP(E$2,$M$2:$BL229,$J229,FALSE),""))</f>
        <v/>
      </c>
      <c r="F229" s="12" t="str">
        <f>IF(IFERROR(HLOOKUP(F$2,$M$2:$BL229,$J229,FALSE),"")="","",IFERROR(HLOOKUP(F$2,$M$2:$BL229,$J229,FALSE),""))</f>
        <v/>
      </c>
      <c r="G229" s="12" t="str">
        <f>IF(IFERROR(HLOOKUP(G$2,$M$2:$BL229,$J229,FALSE),"")="","",IFERROR(HLOOKUP(G$2,$M$2:$BL229,$J229,FALSE),""))</f>
        <v/>
      </c>
      <c r="U229" s="12" t="s">
        <v>923</v>
      </c>
    </row>
    <row r="230" spans="1:21">
      <c r="A230" s="12" t="str">
        <f t="shared" si="21"/>
        <v>BB</v>
      </c>
      <c r="B230" s="12" t="str">
        <f>IF(IFERROR(HLOOKUP(B$2,$M$2:$BL230,$J230,FALSE),"")="","",IFERROR(HLOOKUP(B$2,$M$2:$BL230,$J230,FALSE),""))</f>
        <v/>
      </c>
      <c r="C230" s="12" t="str">
        <f>IF(IFERROR(HLOOKUP(C$2,$M$2:$BL230,$J230,FALSE),"")="","",IFERROR(HLOOKUP(C$2,$M$2:$BL230,$J230,FALSE),""))</f>
        <v/>
      </c>
      <c r="D230" s="12" t="str">
        <f>IF(IFERROR(HLOOKUP(D$2,$M$2:$BL230,$J230,FALSE),"")="","",IFERROR(HLOOKUP(D$2,$M$2:$BL230,$J230,FALSE),""))</f>
        <v/>
      </c>
      <c r="E230" s="12" t="str">
        <f>IF(IFERROR(HLOOKUP(E$2,$M$2:$BL230,$J230,FALSE),"")="","",IFERROR(HLOOKUP(E$2,$M$2:$BL230,$J230,FALSE),""))</f>
        <v/>
      </c>
      <c r="F230" s="12" t="str">
        <f>IF(IFERROR(HLOOKUP(F$2,$M$2:$BL230,$J230,FALSE),"")="","",IFERROR(HLOOKUP(F$2,$M$2:$BL230,$J230,FALSE),""))</f>
        <v/>
      </c>
      <c r="G230" s="12" t="str">
        <f>IF(IFERROR(HLOOKUP(G$2,$M$2:$BL230,$J230,FALSE),"")="","",IFERROR(HLOOKUP(G$2,$M$2:$BL230,$J230,FALSE),""))</f>
        <v/>
      </c>
      <c r="U230" s="12" t="s">
        <v>924</v>
      </c>
    </row>
    <row r="231" spans="1:21">
      <c r="A231" s="12" t="str">
        <f t="shared" si="21"/>
        <v>B</v>
      </c>
      <c r="B231" s="12" t="str">
        <f>IF(IFERROR(HLOOKUP(B$2,$M$2:$BL231,$J231,FALSE),"")="","",IFERROR(HLOOKUP(B$2,$M$2:$BL231,$J231,FALSE),""))</f>
        <v/>
      </c>
      <c r="C231" s="12" t="str">
        <f>IF(IFERROR(HLOOKUP(C$2,$M$2:$BL231,$J231,FALSE),"")="","",IFERROR(HLOOKUP(C$2,$M$2:$BL231,$J231,FALSE),""))</f>
        <v/>
      </c>
      <c r="D231" s="12" t="str">
        <f>IF(IFERROR(HLOOKUP(D$2,$M$2:$BL231,$J231,FALSE),"")="","",IFERROR(HLOOKUP(D$2,$M$2:$BL231,$J231,FALSE),""))</f>
        <v/>
      </c>
      <c r="E231" s="12" t="str">
        <f>IF(IFERROR(HLOOKUP(E$2,$M$2:$BL231,$J231,FALSE),"")="","",IFERROR(HLOOKUP(E$2,$M$2:$BL231,$J231,FALSE),""))</f>
        <v/>
      </c>
      <c r="F231" s="12" t="str">
        <f>IF(IFERROR(HLOOKUP(F$2,$M$2:$BL231,$J231,FALSE),"")="","",IFERROR(HLOOKUP(F$2,$M$2:$BL231,$J231,FALSE),""))</f>
        <v/>
      </c>
      <c r="G231" s="12" t="str">
        <f>IF(IFERROR(HLOOKUP(G$2,$M$2:$BL231,$J231,FALSE),"")="","",IFERROR(HLOOKUP(G$2,$M$2:$BL231,$J231,FALSE),""))</f>
        <v/>
      </c>
      <c r="U231" s="12" t="s">
        <v>924</v>
      </c>
    </row>
    <row r="232" spans="1:21">
      <c r="A232" s="12" t="str">
        <f t="shared" si="21"/>
        <v>CCC and below</v>
      </c>
      <c r="B232" s="12" t="str">
        <f>IF(IFERROR(HLOOKUP(B$2,$M$2:$BL232,$J232,FALSE),"")="","",IFERROR(HLOOKUP(B$2,$M$2:$BL232,$J232,FALSE),""))</f>
        <v/>
      </c>
      <c r="C232" s="12" t="str">
        <f>IF(IFERROR(HLOOKUP(C$2,$M$2:$BL232,$J232,FALSE),"")="","",IFERROR(HLOOKUP(C$2,$M$2:$BL232,$J232,FALSE),""))</f>
        <v/>
      </c>
      <c r="D232" s="12" t="str">
        <f>IF(IFERROR(HLOOKUP(D$2,$M$2:$BL232,$J232,FALSE),"")="","",IFERROR(HLOOKUP(D$2,$M$2:$BL232,$J232,FALSE),""))</f>
        <v/>
      </c>
      <c r="E232" s="12" t="str">
        <f>IF(IFERROR(HLOOKUP(E$2,$M$2:$BL232,$J232,FALSE),"")="","",IFERROR(HLOOKUP(E$2,$M$2:$BL232,$J232,FALSE),""))</f>
        <v/>
      </c>
      <c r="F232" s="12" t="str">
        <f>IF(IFERROR(HLOOKUP(F$2,$M$2:$BL232,$J232,FALSE),"")="","",IFERROR(HLOOKUP(F$2,$M$2:$BL232,$J232,FALSE),""))</f>
        <v/>
      </c>
      <c r="G232" s="12" t="str">
        <f>IF(IFERROR(HLOOKUP(G$2,$M$2:$BL232,$J232,FALSE),"")="","",IFERROR(HLOOKUP(G$2,$M$2:$BL232,$J232,FALSE),""))</f>
        <v/>
      </c>
      <c r="U232" s="12" t="s">
        <v>148</v>
      </c>
    </row>
    <row r="233" spans="1:21" s="15" customFormat="1">
      <c r="A233" s="18" t="str">
        <f t="shared" si="21"/>
        <v>Factor 3</v>
      </c>
      <c r="B233" s="15" t="str">
        <f>IF(IFERROR(HLOOKUP(B$2,$M$2:$BL233,$J233,FALSE),"")="","",IFERROR(HLOOKUP(B$2,$M$2:$BL233,$J233,FALSE),""))</f>
        <v/>
      </c>
      <c r="C233" s="15" t="str">
        <f>IF(IFERROR(HLOOKUP(C$2,$M$2:$BL233,$J233,FALSE),"")="","",IFERROR(HLOOKUP(C$2,$M$2:$BL233,$J233,FALSE),""))</f>
        <v/>
      </c>
      <c r="D233" s="15" t="str">
        <f>IF(IFERROR(HLOOKUP(D$2,$M$2:$BL233,$J233,FALSE),"")="","",IFERROR(HLOOKUP(D$2,$M$2:$BL233,$J233,FALSE),""))</f>
        <v/>
      </c>
      <c r="E233" s="15" t="str">
        <f>IF(IFERROR(HLOOKUP(E$2,$M$2:$BL233,$J233,FALSE),"")="","",IFERROR(HLOOKUP(E$2,$M$2:$BL233,$J233,FALSE),""))</f>
        <v/>
      </c>
      <c r="F233" s="15" t="str">
        <f>IF(IFERROR(HLOOKUP(F$2,$M$2:$BL233,$J233,FALSE),"")="","",IFERROR(HLOOKUP(F$2,$M$2:$BL233,$J233,FALSE),""))</f>
        <v/>
      </c>
      <c r="G233" s="15" t="str">
        <f>IF(IFERROR(HLOOKUP(G$2,$M$2:$BL233,$J233,FALSE),"")="","",IFERROR(HLOOKUP(G$2,$M$2:$BL233,$J233,FALSE),""))</f>
        <v/>
      </c>
    </row>
    <row r="234" spans="1:21">
      <c r="A234" s="12" t="str">
        <f t="shared" si="21"/>
        <v>AA and above</v>
      </c>
      <c r="B234" s="12" t="str">
        <f>IF(IFERROR(HLOOKUP(B$2,$M$2:$BL234,$J234,FALSE),"")="","",IFERROR(HLOOKUP(B$2,$M$2:$BL234,$J234,FALSE),""))</f>
        <v/>
      </c>
      <c r="C234" s="12" t="str">
        <f>IF(IFERROR(HLOOKUP(C$2,$M$2:$BL234,$J234,FALSE),"")="","",IFERROR(HLOOKUP(C$2,$M$2:$BL234,$J234,FALSE),""))</f>
        <v/>
      </c>
      <c r="D234" s="12" t="str">
        <f>IF(IFERROR(HLOOKUP(D$2,$M$2:$BL234,$J234,FALSE),"")="","",IFERROR(HLOOKUP(D$2,$M$2:$BL234,$J234,FALSE),""))</f>
        <v/>
      </c>
      <c r="E234" s="12" t="str">
        <f>IF(IFERROR(HLOOKUP(E$2,$M$2:$BL234,$J234,FALSE),"")="","",IFERROR(HLOOKUP(E$2,$M$2:$BL234,$J234,FALSE),""))</f>
        <v/>
      </c>
      <c r="F234" s="12" t="str">
        <f>IF(IFERROR(HLOOKUP(F$2,$M$2:$BL234,$J234,FALSE),"")="","",IFERROR(HLOOKUP(F$2,$M$2:$BL234,$J234,FALSE),""))</f>
        <v/>
      </c>
      <c r="G234" s="12" t="str">
        <f>IF(IFERROR(HLOOKUP(G$2,$M$2:$BL234,$J234,FALSE),"")="","",IFERROR(HLOOKUP(G$2,$M$2:$BL234,$J234,FALSE),""))</f>
        <v/>
      </c>
    </row>
    <row r="235" spans="1:21">
      <c r="A235" s="12" t="str">
        <f t="shared" si="21"/>
        <v>A</v>
      </c>
      <c r="B235" s="12" t="str">
        <f>IF(IFERROR(HLOOKUP(B$2,$M$2:$BL235,$J235,FALSE),"")="","",IFERROR(HLOOKUP(B$2,$M$2:$BL235,$J235,FALSE),""))</f>
        <v/>
      </c>
      <c r="C235" s="12" t="str">
        <f>IF(IFERROR(HLOOKUP(C$2,$M$2:$BL235,$J235,FALSE),"")="","",IFERROR(HLOOKUP(C$2,$M$2:$BL235,$J235,FALSE),""))</f>
        <v/>
      </c>
      <c r="D235" s="12" t="str">
        <f>IF(IFERROR(HLOOKUP(D$2,$M$2:$BL235,$J235,FALSE),"")="","",IFERROR(HLOOKUP(D$2,$M$2:$BL235,$J235,FALSE),""))</f>
        <v/>
      </c>
      <c r="E235" s="12" t="str">
        <f>IF(IFERROR(HLOOKUP(E$2,$M$2:$BL235,$J235,FALSE),"")="","",IFERROR(HLOOKUP(E$2,$M$2:$BL235,$J235,FALSE),""))</f>
        <v/>
      </c>
      <c r="F235" s="12" t="str">
        <f>IF(IFERROR(HLOOKUP(F$2,$M$2:$BL235,$J235,FALSE),"")="","",IFERROR(HLOOKUP(F$2,$M$2:$BL235,$J235,FALSE),""))</f>
        <v/>
      </c>
      <c r="G235" s="12" t="str">
        <f>IF(IFERROR(HLOOKUP(G$2,$M$2:$BL235,$J235,FALSE),"")="","",IFERROR(HLOOKUP(G$2,$M$2:$BL235,$J235,FALSE),""))</f>
        <v/>
      </c>
    </row>
    <row r="236" spans="1:21">
      <c r="A236" s="12" t="str">
        <f t="shared" si="21"/>
        <v>BBB</v>
      </c>
      <c r="B236" s="12" t="str">
        <f>IF(IFERROR(HLOOKUP(B$2,$M$2:$BL236,$J236,FALSE),"")="","",IFERROR(HLOOKUP(B$2,$M$2:$BL236,$J236,FALSE),""))</f>
        <v/>
      </c>
      <c r="C236" s="12" t="str">
        <f>IF(IFERROR(HLOOKUP(C$2,$M$2:$BL236,$J236,FALSE),"")="","",IFERROR(HLOOKUP(C$2,$M$2:$BL236,$J236,FALSE),""))</f>
        <v/>
      </c>
      <c r="D236" s="12" t="str">
        <f>IF(IFERROR(HLOOKUP(D$2,$M$2:$BL236,$J236,FALSE),"")="","",IFERROR(HLOOKUP(D$2,$M$2:$BL236,$J236,FALSE),""))</f>
        <v/>
      </c>
      <c r="E236" s="12" t="str">
        <f>IF(IFERROR(HLOOKUP(E$2,$M$2:$BL236,$J236,FALSE),"")="","",IFERROR(HLOOKUP(E$2,$M$2:$BL236,$J236,FALSE),""))</f>
        <v/>
      </c>
      <c r="F236" s="12" t="str">
        <f>IF(IFERROR(HLOOKUP(F$2,$M$2:$BL236,$J236,FALSE),"")="","",IFERROR(HLOOKUP(F$2,$M$2:$BL236,$J236,FALSE),""))</f>
        <v/>
      </c>
      <c r="G236" s="12" t="str">
        <f>IF(IFERROR(HLOOKUP(G$2,$M$2:$BL236,$J236,FALSE),"")="","",IFERROR(HLOOKUP(G$2,$M$2:$BL236,$J236,FALSE),""))</f>
        <v/>
      </c>
    </row>
    <row r="237" spans="1:21">
      <c r="A237" s="12" t="str">
        <f t="shared" si="21"/>
        <v>BB</v>
      </c>
      <c r="B237" s="12" t="str">
        <f>IF(IFERROR(HLOOKUP(B$2,$M$2:$BL237,$J237,FALSE),"")="","",IFERROR(HLOOKUP(B$2,$M$2:$BL237,$J237,FALSE),""))</f>
        <v/>
      </c>
      <c r="C237" s="12" t="str">
        <f>IF(IFERROR(HLOOKUP(C$2,$M$2:$BL237,$J237,FALSE),"")="","",IFERROR(HLOOKUP(C$2,$M$2:$BL237,$J237,FALSE),""))</f>
        <v/>
      </c>
      <c r="D237" s="12" t="str">
        <f>IF(IFERROR(HLOOKUP(D$2,$M$2:$BL237,$J237,FALSE),"")="","",IFERROR(HLOOKUP(D$2,$M$2:$BL237,$J237,FALSE),""))</f>
        <v/>
      </c>
      <c r="E237" s="12" t="str">
        <f>IF(IFERROR(HLOOKUP(E$2,$M$2:$BL237,$J237,FALSE),"")="","",IFERROR(HLOOKUP(E$2,$M$2:$BL237,$J237,FALSE),""))</f>
        <v/>
      </c>
      <c r="F237" s="12" t="str">
        <f>IF(IFERROR(HLOOKUP(F$2,$M$2:$BL237,$J237,FALSE),"")="","",IFERROR(HLOOKUP(F$2,$M$2:$BL237,$J237,FALSE),""))</f>
        <v/>
      </c>
      <c r="G237" s="12" t="str">
        <f>IF(IFERROR(HLOOKUP(G$2,$M$2:$BL237,$J237,FALSE),"")="","",IFERROR(HLOOKUP(G$2,$M$2:$BL237,$J237,FALSE),""))</f>
        <v/>
      </c>
    </row>
    <row r="238" spans="1:21">
      <c r="A238" s="12" t="str">
        <f t="shared" si="21"/>
        <v>B</v>
      </c>
      <c r="B238" s="12" t="str">
        <f>IF(IFERROR(HLOOKUP(B$2,$M$2:$BL238,$J238,FALSE),"")="","",IFERROR(HLOOKUP(B$2,$M$2:$BL238,$J238,FALSE),""))</f>
        <v/>
      </c>
      <c r="C238" s="12" t="str">
        <f>IF(IFERROR(HLOOKUP(C$2,$M$2:$BL238,$J238,FALSE),"")="","",IFERROR(HLOOKUP(C$2,$M$2:$BL238,$J238,FALSE),""))</f>
        <v/>
      </c>
      <c r="D238" s="12" t="str">
        <f>IF(IFERROR(HLOOKUP(D$2,$M$2:$BL238,$J238,FALSE),"")="","",IFERROR(HLOOKUP(D$2,$M$2:$BL238,$J238,FALSE),""))</f>
        <v/>
      </c>
      <c r="E238" s="12" t="str">
        <f>IF(IFERROR(HLOOKUP(E$2,$M$2:$BL238,$J238,FALSE),"")="","",IFERROR(HLOOKUP(E$2,$M$2:$BL238,$J238,FALSE),""))</f>
        <v/>
      </c>
      <c r="F238" s="12" t="str">
        <f>IF(IFERROR(HLOOKUP(F$2,$M$2:$BL238,$J238,FALSE),"")="","",IFERROR(HLOOKUP(F$2,$M$2:$BL238,$J238,FALSE),""))</f>
        <v/>
      </c>
      <c r="G238" s="12" t="str">
        <f>IF(IFERROR(HLOOKUP(G$2,$M$2:$BL238,$J238,FALSE),"")="","",IFERROR(HLOOKUP(G$2,$M$2:$BL238,$J238,FALSE),""))</f>
        <v/>
      </c>
    </row>
    <row r="239" spans="1:21">
      <c r="A239" s="12" t="str">
        <f t="shared" si="21"/>
        <v>CCC and below</v>
      </c>
      <c r="B239" s="12" t="str">
        <f>IF(IFERROR(HLOOKUP(B$2,$M$2:$BL239,$J239,FALSE),"")="","",IFERROR(HLOOKUP(B$2,$M$2:$BL239,$J239,FALSE),""))</f>
        <v/>
      </c>
      <c r="C239" s="12" t="str">
        <f>IF(IFERROR(HLOOKUP(C$2,$M$2:$BL239,$J239,FALSE),"")="","",IFERROR(HLOOKUP(C$2,$M$2:$BL239,$J239,FALSE),""))</f>
        <v/>
      </c>
      <c r="D239" s="12" t="str">
        <f>IF(IFERROR(HLOOKUP(D$2,$M$2:$BL239,$J239,FALSE),"")="","",IFERROR(HLOOKUP(D$2,$M$2:$BL239,$J239,FALSE),""))</f>
        <v/>
      </c>
      <c r="E239" s="12" t="str">
        <f>IF(IFERROR(HLOOKUP(E$2,$M$2:$BL239,$J239,FALSE),"")="","",IFERROR(HLOOKUP(E$2,$M$2:$BL239,$J239,FALSE),""))</f>
        <v/>
      </c>
      <c r="F239" s="12" t="str">
        <f>IF(IFERROR(HLOOKUP(F$2,$M$2:$BL239,$J239,FALSE),"")="","",IFERROR(HLOOKUP(F$2,$M$2:$BL239,$J239,FALSE),""))</f>
        <v/>
      </c>
      <c r="G239" s="12" t="str">
        <f>IF(IFERROR(HLOOKUP(G$2,$M$2:$BL239,$J239,FALSE),"")="","",IFERROR(HLOOKUP(G$2,$M$2:$BL239,$J239,FALSE),""))</f>
        <v/>
      </c>
    </row>
    <row r="240" spans="1:21" s="15" customFormat="1">
      <c r="A240" s="18" t="str">
        <f t="shared" si="21"/>
        <v>Factor 4</v>
      </c>
      <c r="B240" s="15" t="str">
        <f>IF(IFERROR(HLOOKUP(B$2,$M$2:$BL240,$J240,FALSE),"")="","",IFERROR(HLOOKUP(B$2,$M$2:$BL240,$J240,FALSE),""))</f>
        <v/>
      </c>
      <c r="C240" s="15" t="str">
        <f>IF(IFERROR(HLOOKUP(C$2,$M$2:$BL240,$J240,FALSE),"")="","",IFERROR(HLOOKUP(C$2,$M$2:$BL240,$J240,FALSE),""))</f>
        <v/>
      </c>
      <c r="D240" s="15" t="str">
        <f>IF(IFERROR(HLOOKUP(D$2,$M$2:$BL240,$J240,FALSE),"")="","",IFERROR(HLOOKUP(D$2,$M$2:$BL240,$J240,FALSE),""))</f>
        <v/>
      </c>
      <c r="E240" s="15" t="str">
        <f>IF(IFERROR(HLOOKUP(E$2,$M$2:$BL240,$J240,FALSE),"")="","",IFERROR(HLOOKUP(E$2,$M$2:$BL240,$J240,FALSE),""))</f>
        <v/>
      </c>
      <c r="F240" s="15" t="str">
        <f>IF(IFERROR(HLOOKUP(F$2,$M$2:$BL240,$J240,FALSE),"")="","",IFERROR(HLOOKUP(F$2,$M$2:$BL240,$J240,FALSE),""))</f>
        <v/>
      </c>
      <c r="G240" s="15" t="str">
        <f>IF(IFERROR(HLOOKUP(G$2,$M$2:$BL240,$J240,FALSE),"")="","",IFERROR(HLOOKUP(G$2,$M$2:$BL240,$J240,FALSE),""))</f>
        <v/>
      </c>
    </row>
    <row r="241" spans="1:21">
      <c r="A241" s="12" t="str">
        <f t="shared" si="21"/>
        <v>AA and above</v>
      </c>
      <c r="B241" s="12" t="str">
        <f>IF(IFERROR(HLOOKUP(B$2,$M$2:$BL241,$J241,FALSE),"")="","",IFERROR(HLOOKUP(B$2,$M$2:$BL241,$J241,FALSE),""))</f>
        <v/>
      </c>
      <c r="C241" s="12" t="str">
        <f>IF(IFERROR(HLOOKUP(C$2,$M$2:$BL241,$J241,FALSE),"")="","",IFERROR(HLOOKUP(C$2,$M$2:$BL241,$J241,FALSE),""))</f>
        <v/>
      </c>
      <c r="D241" s="12" t="str">
        <f>IF(IFERROR(HLOOKUP(D$2,$M$2:$BL241,$J241,FALSE),"")="","",IFERROR(HLOOKUP(D$2,$M$2:$BL241,$J241,FALSE),""))</f>
        <v/>
      </c>
      <c r="E241" s="12" t="str">
        <f>IF(IFERROR(HLOOKUP(E$2,$M$2:$BL241,$J241,FALSE),"")="","",IFERROR(HLOOKUP(E$2,$M$2:$BL241,$J241,FALSE),""))</f>
        <v/>
      </c>
      <c r="F241" s="12" t="str">
        <f>IF(IFERROR(HLOOKUP(F$2,$M$2:$BL241,$J241,FALSE),"")="","",IFERROR(HLOOKUP(F$2,$M$2:$BL241,$J241,FALSE),""))</f>
        <v/>
      </c>
      <c r="G241" s="12" t="str">
        <f>IF(IFERROR(HLOOKUP(G$2,$M$2:$BL241,$J241,FALSE),"")="","",IFERROR(HLOOKUP(G$2,$M$2:$BL241,$J241,FALSE),""))</f>
        <v/>
      </c>
    </row>
    <row r="242" spans="1:21">
      <c r="A242" s="12" t="str">
        <f t="shared" si="21"/>
        <v>A</v>
      </c>
      <c r="B242" s="12" t="str">
        <f>IF(IFERROR(HLOOKUP(B$2,$M$2:$BL242,$J242,FALSE),"")="","",IFERROR(HLOOKUP(B$2,$M$2:$BL242,$J242,FALSE),""))</f>
        <v/>
      </c>
      <c r="C242" s="12" t="str">
        <f>IF(IFERROR(HLOOKUP(C$2,$M$2:$BL242,$J242,FALSE),"")="","",IFERROR(HLOOKUP(C$2,$M$2:$BL242,$J242,FALSE),""))</f>
        <v/>
      </c>
      <c r="D242" s="12" t="str">
        <f>IF(IFERROR(HLOOKUP(D$2,$M$2:$BL242,$J242,FALSE),"")="","",IFERROR(HLOOKUP(D$2,$M$2:$BL242,$J242,FALSE),""))</f>
        <v/>
      </c>
      <c r="E242" s="12" t="str">
        <f>IF(IFERROR(HLOOKUP(E$2,$M$2:$BL242,$J242,FALSE),"")="","",IFERROR(HLOOKUP(E$2,$M$2:$BL242,$J242,FALSE),""))</f>
        <v/>
      </c>
      <c r="F242" s="12" t="str">
        <f>IF(IFERROR(HLOOKUP(F$2,$M$2:$BL242,$J242,FALSE),"")="","",IFERROR(HLOOKUP(F$2,$M$2:$BL242,$J242,FALSE),""))</f>
        <v/>
      </c>
      <c r="G242" s="12" t="str">
        <f>IF(IFERROR(HLOOKUP(G$2,$M$2:$BL242,$J242,FALSE),"")="","",IFERROR(HLOOKUP(G$2,$M$2:$BL242,$J242,FALSE),""))</f>
        <v/>
      </c>
    </row>
    <row r="243" spans="1:21">
      <c r="A243" s="12" t="str">
        <f t="shared" si="21"/>
        <v>BBB</v>
      </c>
      <c r="B243" s="12" t="str">
        <f>IF(IFERROR(HLOOKUP(B$2,$M$2:$BL243,$J243,FALSE),"")="","",IFERROR(HLOOKUP(B$2,$M$2:$BL243,$J243,FALSE),""))</f>
        <v/>
      </c>
      <c r="C243" s="12" t="str">
        <f>IF(IFERROR(HLOOKUP(C$2,$M$2:$BL243,$J243,FALSE),"")="","",IFERROR(HLOOKUP(C$2,$M$2:$BL243,$J243,FALSE),""))</f>
        <v/>
      </c>
      <c r="D243" s="12" t="str">
        <f>IF(IFERROR(HLOOKUP(D$2,$M$2:$BL243,$J243,FALSE),"")="","",IFERROR(HLOOKUP(D$2,$M$2:$BL243,$J243,FALSE),""))</f>
        <v/>
      </c>
      <c r="E243" s="12" t="str">
        <f>IF(IFERROR(HLOOKUP(E$2,$M$2:$BL243,$J243,FALSE),"")="","",IFERROR(HLOOKUP(E$2,$M$2:$BL243,$J243,FALSE),""))</f>
        <v/>
      </c>
      <c r="F243" s="12" t="str">
        <f>IF(IFERROR(HLOOKUP(F$2,$M$2:$BL243,$J243,FALSE),"")="","",IFERROR(HLOOKUP(F$2,$M$2:$BL243,$J243,FALSE),""))</f>
        <v/>
      </c>
      <c r="G243" s="12" t="str">
        <f>IF(IFERROR(HLOOKUP(G$2,$M$2:$BL243,$J243,FALSE),"")="","",IFERROR(HLOOKUP(G$2,$M$2:$BL243,$J243,FALSE),""))</f>
        <v/>
      </c>
    </row>
    <row r="244" spans="1:21">
      <c r="A244" s="12" t="str">
        <f t="shared" si="21"/>
        <v>BB</v>
      </c>
      <c r="B244" s="12" t="str">
        <f>IF(IFERROR(HLOOKUP(B$2,$M$2:$BL244,$J244,FALSE),"")="","",IFERROR(HLOOKUP(B$2,$M$2:$BL244,$J244,FALSE),""))</f>
        <v/>
      </c>
      <c r="C244" s="12" t="str">
        <f>IF(IFERROR(HLOOKUP(C$2,$M$2:$BL244,$J244,FALSE),"")="","",IFERROR(HLOOKUP(C$2,$M$2:$BL244,$J244,FALSE),""))</f>
        <v/>
      </c>
      <c r="D244" s="12" t="str">
        <f>IF(IFERROR(HLOOKUP(D$2,$M$2:$BL244,$J244,FALSE),"")="","",IFERROR(HLOOKUP(D$2,$M$2:$BL244,$J244,FALSE),""))</f>
        <v/>
      </c>
      <c r="E244" s="12" t="str">
        <f>IF(IFERROR(HLOOKUP(E$2,$M$2:$BL244,$J244,FALSE),"")="","",IFERROR(HLOOKUP(E$2,$M$2:$BL244,$J244,FALSE),""))</f>
        <v/>
      </c>
      <c r="F244" s="12" t="str">
        <f>IF(IFERROR(HLOOKUP(F$2,$M$2:$BL244,$J244,FALSE),"")="","",IFERROR(HLOOKUP(F$2,$M$2:$BL244,$J244,FALSE),""))</f>
        <v/>
      </c>
      <c r="G244" s="12" t="str">
        <f>IF(IFERROR(HLOOKUP(G$2,$M$2:$BL244,$J244,FALSE),"")="","",IFERROR(HLOOKUP(G$2,$M$2:$BL244,$J244,FALSE),""))</f>
        <v/>
      </c>
    </row>
    <row r="245" spans="1:21">
      <c r="A245" s="12" t="str">
        <f t="shared" si="21"/>
        <v>B</v>
      </c>
      <c r="B245" s="12" t="str">
        <f>IF(IFERROR(HLOOKUP(B$2,$M$2:$BL245,$J245,FALSE),"")="","",IFERROR(HLOOKUP(B$2,$M$2:$BL245,$J245,FALSE),""))</f>
        <v/>
      </c>
      <c r="C245" s="12" t="str">
        <f>IF(IFERROR(HLOOKUP(C$2,$M$2:$BL245,$J245,FALSE),"")="","",IFERROR(HLOOKUP(C$2,$M$2:$BL245,$J245,FALSE),""))</f>
        <v/>
      </c>
      <c r="D245" s="12" t="str">
        <f>IF(IFERROR(HLOOKUP(D$2,$M$2:$BL245,$J245,FALSE),"")="","",IFERROR(HLOOKUP(D$2,$M$2:$BL245,$J245,FALSE),""))</f>
        <v/>
      </c>
      <c r="E245" s="12" t="str">
        <f>IF(IFERROR(HLOOKUP(E$2,$M$2:$BL245,$J245,FALSE),"")="","",IFERROR(HLOOKUP(E$2,$M$2:$BL245,$J245,FALSE),""))</f>
        <v/>
      </c>
      <c r="F245" s="12" t="str">
        <f>IF(IFERROR(HLOOKUP(F$2,$M$2:$BL245,$J245,FALSE),"")="","",IFERROR(HLOOKUP(F$2,$M$2:$BL245,$J245,FALSE),""))</f>
        <v/>
      </c>
      <c r="G245" s="12" t="str">
        <f>IF(IFERROR(HLOOKUP(G$2,$M$2:$BL245,$J245,FALSE),"")="","",IFERROR(HLOOKUP(G$2,$M$2:$BL245,$J245,FALSE),""))</f>
        <v/>
      </c>
    </row>
    <row r="246" spans="1:21">
      <c r="A246" s="12" t="str">
        <f t="shared" si="21"/>
        <v>CCC and below</v>
      </c>
      <c r="B246" s="12" t="str">
        <f>IF(IFERROR(HLOOKUP(B$2,$M$2:$BL246,$J246,FALSE),"")="","",IFERROR(HLOOKUP(B$2,$M$2:$BL246,$J246,FALSE),""))</f>
        <v/>
      </c>
      <c r="C246" s="12" t="str">
        <f>IF(IFERROR(HLOOKUP(C$2,$M$2:$BL246,$J246,FALSE),"")="","",IFERROR(HLOOKUP(C$2,$M$2:$BL246,$J246,FALSE),""))</f>
        <v/>
      </c>
      <c r="D246" s="12" t="str">
        <f>IF(IFERROR(HLOOKUP(D$2,$M$2:$BL246,$J246,FALSE),"")="","",IFERROR(HLOOKUP(D$2,$M$2:$BL246,$J246,FALSE),""))</f>
        <v/>
      </c>
      <c r="E246" s="12" t="str">
        <f>IF(IFERROR(HLOOKUP(E$2,$M$2:$BL246,$J246,FALSE),"")="","",IFERROR(HLOOKUP(E$2,$M$2:$BL246,$J246,FALSE),""))</f>
        <v/>
      </c>
      <c r="F246" s="12" t="str">
        <f>IF(IFERROR(HLOOKUP(F$2,$M$2:$BL246,$J246,FALSE),"")="","",IFERROR(HLOOKUP(F$2,$M$2:$BL246,$J246,FALSE),""))</f>
        <v/>
      </c>
      <c r="G246" s="12" t="str">
        <f>IF(IFERROR(HLOOKUP(G$2,$M$2:$BL246,$J246,FALSE),"")="","",IFERROR(HLOOKUP(G$2,$M$2:$BL246,$J246,FALSE),""))</f>
        <v/>
      </c>
    </row>
    <row r="247" spans="1:21" s="15" customFormat="1">
      <c r="A247" s="18" t="str">
        <f t="shared" si="21"/>
        <v>Factor 5</v>
      </c>
      <c r="B247" s="15" t="str">
        <f>IF(IFERROR(HLOOKUP(B$2,$M$2:$BL247,$J247,FALSE),"")="","",IFERROR(HLOOKUP(B$2,$M$2:$BL247,$J247,FALSE),""))</f>
        <v/>
      </c>
      <c r="C247" s="15" t="str">
        <f>IF(IFERROR(HLOOKUP(C$2,$M$2:$BL247,$J247,FALSE),"")="","",IFERROR(HLOOKUP(C$2,$M$2:$BL247,$J247,FALSE),""))</f>
        <v/>
      </c>
      <c r="D247" s="15" t="str">
        <f>IF(IFERROR(HLOOKUP(D$2,$M$2:$BL247,$J247,FALSE),"")="","",IFERROR(HLOOKUP(D$2,$M$2:$BL247,$J247,FALSE),""))</f>
        <v/>
      </c>
      <c r="E247" s="15" t="str">
        <f>IF(IFERROR(HLOOKUP(E$2,$M$2:$BL247,$J247,FALSE),"")="","",IFERROR(HLOOKUP(E$2,$M$2:$BL247,$J247,FALSE),""))</f>
        <v/>
      </c>
      <c r="F247" s="15" t="str">
        <f>IF(IFERROR(HLOOKUP(F$2,$M$2:$BL247,$J247,FALSE),"")="","",IFERROR(HLOOKUP(F$2,$M$2:$BL247,$J247,FALSE),""))</f>
        <v/>
      </c>
      <c r="G247" s="15" t="str">
        <f>IF(IFERROR(HLOOKUP(G$2,$M$2:$BL247,$J247,FALSE),"")="","",IFERROR(HLOOKUP(G$2,$M$2:$BL247,$J247,FALSE),""))</f>
        <v/>
      </c>
    </row>
    <row r="248" spans="1:21">
      <c r="A248" s="12" t="str">
        <f t="shared" si="21"/>
        <v>AA and above</v>
      </c>
      <c r="B248" s="12" t="str">
        <f>IF(IFERROR(HLOOKUP(B$2,$M$2:$BL248,$J248,FALSE),"")="","",IFERROR(HLOOKUP(B$2,$M$2:$BL248,$J248,FALSE),""))</f>
        <v/>
      </c>
      <c r="C248" s="12" t="str">
        <f>IF(IFERROR(HLOOKUP(C$2,$M$2:$BL248,$J248,FALSE),"")="","",IFERROR(HLOOKUP(C$2,$M$2:$BL248,$J248,FALSE),""))</f>
        <v/>
      </c>
      <c r="D248" s="12" t="str">
        <f>IF(IFERROR(HLOOKUP(D$2,$M$2:$BL248,$J248,FALSE),"")="","",IFERROR(HLOOKUP(D$2,$M$2:$BL248,$J248,FALSE),""))</f>
        <v/>
      </c>
      <c r="E248" s="12" t="str">
        <f>IF(IFERROR(HLOOKUP(E$2,$M$2:$BL248,$J248,FALSE),"")="","",IFERROR(HLOOKUP(E$2,$M$2:$BL248,$J248,FALSE),""))</f>
        <v/>
      </c>
      <c r="F248" s="12" t="str">
        <f>IF(IFERROR(HLOOKUP(F$2,$M$2:$BL248,$J248,FALSE),"")="","",IFERROR(HLOOKUP(F$2,$M$2:$BL248,$J248,FALSE),""))</f>
        <v/>
      </c>
      <c r="G248" s="12" t="str">
        <f>IF(IFERROR(HLOOKUP(G$2,$M$2:$BL248,$J248,FALSE),"")="","",IFERROR(HLOOKUP(G$2,$M$2:$BL248,$J248,FALSE),""))</f>
        <v/>
      </c>
    </row>
    <row r="249" spans="1:21">
      <c r="A249" s="12" t="str">
        <f t="shared" si="21"/>
        <v>A</v>
      </c>
      <c r="B249" s="12" t="str">
        <f>IF(IFERROR(HLOOKUP(B$2,$M$2:$BL249,$J249,FALSE),"")="","",IFERROR(HLOOKUP(B$2,$M$2:$BL249,$J249,FALSE),""))</f>
        <v/>
      </c>
      <c r="C249" s="12" t="str">
        <f>IF(IFERROR(HLOOKUP(C$2,$M$2:$BL249,$J249,FALSE),"")="","",IFERROR(HLOOKUP(C$2,$M$2:$BL249,$J249,FALSE),""))</f>
        <v/>
      </c>
      <c r="D249" s="12" t="str">
        <f>IF(IFERROR(HLOOKUP(D$2,$M$2:$BL249,$J249,FALSE),"")="","",IFERROR(HLOOKUP(D$2,$M$2:$BL249,$J249,FALSE),""))</f>
        <v/>
      </c>
      <c r="E249" s="12" t="str">
        <f>IF(IFERROR(HLOOKUP(E$2,$M$2:$BL249,$J249,FALSE),"")="","",IFERROR(HLOOKUP(E$2,$M$2:$BL249,$J249,FALSE),""))</f>
        <v/>
      </c>
      <c r="F249" s="12" t="str">
        <f>IF(IFERROR(HLOOKUP(F$2,$M$2:$BL249,$J249,FALSE),"")="","",IFERROR(HLOOKUP(F$2,$M$2:$BL249,$J249,FALSE),""))</f>
        <v/>
      </c>
      <c r="G249" s="12" t="str">
        <f>IF(IFERROR(HLOOKUP(G$2,$M$2:$BL249,$J249,FALSE),"")="","",IFERROR(HLOOKUP(G$2,$M$2:$BL249,$J249,FALSE),""))</f>
        <v/>
      </c>
    </row>
    <row r="250" spans="1:21">
      <c r="A250" s="12" t="str">
        <f t="shared" si="21"/>
        <v>BBB</v>
      </c>
      <c r="B250" s="12" t="str">
        <f>IF(IFERROR(HLOOKUP(B$2,$M$2:$BL250,$J250,FALSE),"")="","",IFERROR(HLOOKUP(B$2,$M$2:$BL250,$J250,FALSE),""))</f>
        <v/>
      </c>
      <c r="C250" s="12" t="str">
        <f>IF(IFERROR(HLOOKUP(C$2,$M$2:$BL250,$J250,FALSE),"")="","",IFERROR(HLOOKUP(C$2,$M$2:$BL250,$J250,FALSE),""))</f>
        <v/>
      </c>
      <c r="D250" s="12" t="str">
        <f>IF(IFERROR(HLOOKUP(D$2,$M$2:$BL250,$J250,FALSE),"")="","",IFERROR(HLOOKUP(D$2,$M$2:$BL250,$J250,FALSE),""))</f>
        <v/>
      </c>
      <c r="E250" s="12" t="str">
        <f>IF(IFERROR(HLOOKUP(E$2,$M$2:$BL250,$J250,FALSE),"")="","",IFERROR(HLOOKUP(E$2,$M$2:$BL250,$J250,FALSE),""))</f>
        <v/>
      </c>
      <c r="F250" s="12" t="str">
        <f>IF(IFERROR(HLOOKUP(F$2,$M$2:$BL250,$J250,FALSE),"")="","",IFERROR(HLOOKUP(F$2,$M$2:$BL250,$J250,FALSE),""))</f>
        <v/>
      </c>
      <c r="G250" s="12" t="str">
        <f>IF(IFERROR(HLOOKUP(G$2,$M$2:$BL250,$J250,FALSE),"")="","",IFERROR(HLOOKUP(G$2,$M$2:$BL250,$J250,FALSE),""))</f>
        <v/>
      </c>
    </row>
    <row r="251" spans="1:21">
      <c r="A251" s="12" t="str">
        <f t="shared" si="21"/>
        <v>BB</v>
      </c>
      <c r="B251" s="12" t="str">
        <f>IF(IFERROR(HLOOKUP(B$2,$M$2:$BL251,$J251,FALSE),"")="","",IFERROR(HLOOKUP(B$2,$M$2:$BL251,$J251,FALSE),""))</f>
        <v/>
      </c>
      <c r="C251" s="12" t="str">
        <f>IF(IFERROR(HLOOKUP(C$2,$M$2:$BL251,$J251,FALSE),"")="","",IFERROR(HLOOKUP(C$2,$M$2:$BL251,$J251,FALSE),""))</f>
        <v/>
      </c>
      <c r="D251" s="12" t="str">
        <f>IF(IFERROR(HLOOKUP(D$2,$M$2:$BL251,$J251,FALSE),"")="","",IFERROR(HLOOKUP(D$2,$M$2:$BL251,$J251,FALSE),""))</f>
        <v/>
      </c>
      <c r="E251" s="12" t="str">
        <f>IF(IFERROR(HLOOKUP(E$2,$M$2:$BL251,$J251,FALSE),"")="","",IFERROR(HLOOKUP(E$2,$M$2:$BL251,$J251,FALSE),""))</f>
        <v/>
      </c>
      <c r="F251" s="12" t="str">
        <f>IF(IFERROR(HLOOKUP(F$2,$M$2:$BL251,$J251,FALSE),"")="","",IFERROR(HLOOKUP(F$2,$M$2:$BL251,$J251,FALSE),""))</f>
        <v/>
      </c>
      <c r="G251" s="12" t="str">
        <f>IF(IFERROR(HLOOKUP(G$2,$M$2:$BL251,$J251,FALSE),"")="","",IFERROR(HLOOKUP(G$2,$M$2:$BL251,$J251,FALSE),""))</f>
        <v/>
      </c>
    </row>
    <row r="252" spans="1:21">
      <c r="A252" s="12" t="str">
        <f t="shared" si="21"/>
        <v>B</v>
      </c>
      <c r="B252" s="12" t="str">
        <f>IF(IFERROR(HLOOKUP(B$2,$M$2:$BL252,$J252,FALSE),"")="","",IFERROR(HLOOKUP(B$2,$M$2:$BL252,$J252,FALSE),""))</f>
        <v/>
      </c>
      <c r="C252" s="12" t="str">
        <f>IF(IFERROR(HLOOKUP(C$2,$M$2:$BL252,$J252,FALSE),"")="","",IFERROR(HLOOKUP(C$2,$M$2:$BL252,$J252,FALSE),""))</f>
        <v/>
      </c>
      <c r="D252" s="12" t="str">
        <f>IF(IFERROR(HLOOKUP(D$2,$M$2:$BL252,$J252,FALSE),"")="","",IFERROR(HLOOKUP(D$2,$M$2:$BL252,$J252,FALSE),""))</f>
        <v/>
      </c>
      <c r="E252" s="12" t="str">
        <f>IF(IFERROR(HLOOKUP(E$2,$M$2:$BL252,$J252,FALSE),"")="","",IFERROR(HLOOKUP(E$2,$M$2:$BL252,$J252,FALSE),""))</f>
        <v/>
      </c>
      <c r="F252" s="12" t="str">
        <f>IF(IFERROR(HLOOKUP(F$2,$M$2:$BL252,$J252,FALSE),"")="","",IFERROR(HLOOKUP(F$2,$M$2:$BL252,$J252,FALSE),""))</f>
        <v/>
      </c>
      <c r="G252" s="12" t="str">
        <f>IF(IFERROR(HLOOKUP(G$2,$M$2:$BL252,$J252,FALSE),"")="","",IFERROR(HLOOKUP(G$2,$M$2:$BL252,$J252,FALSE),""))</f>
        <v/>
      </c>
    </row>
    <row r="253" spans="1:21">
      <c r="A253" s="12" t="str">
        <f t="shared" si="21"/>
        <v>CCC and below</v>
      </c>
      <c r="B253" s="12" t="str">
        <f>IF(IFERROR(HLOOKUP(B$2,$M$2:$BL253,$J253,FALSE),"")="","",IFERROR(HLOOKUP(B$2,$M$2:$BL253,$J253,FALSE),""))</f>
        <v/>
      </c>
      <c r="C253" s="12" t="str">
        <f>IF(IFERROR(HLOOKUP(C$2,$M$2:$BL253,$J253,FALSE),"")="","",IFERROR(HLOOKUP(C$2,$M$2:$BL253,$J253,FALSE),""))</f>
        <v/>
      </c>
      <c r="D253" s="12" t="str">
        <f>IF(IFERROR(HLOOKUP(D$2,$M$2:$BL253,$J253,FALSE),"")="","",IFERROR(HLOOKUP(D$2,$M$2:$BL253,$J253,FALSE),""))</f>
        <v/>
      </c>
      <c r="E253" s="12" t="str">
        <f>IF(IFERROR(HLOOKUP(E$2,$M$2:$BL253,$J253,FALSE),"")="","",IFERROR(HLOOKUP(E$2,$M$2:$BL253,$J253,FALSE),""))</f>
        <v/>
      </c>
      <c r="F253" s="12" t="str">
        <f>IF(IFERROR(HLOOKUP(F$2,$M$2:$BL253,$J253,FALSE),"")="","",IFERROR(HLOOKUP(F$2,$M$2:$BL253,$J253,FALSE),""))</f>
        <v/>
      </c>
      <c r="G253" s="12" t="str">
        <f>IF(IFERROR(HLOOKUP(G$2,$M$2:$BL253,$J253,FALSE),"")="","",IFERROR(HLOOKUP(G$2,$M$2:$BL253,$J253,FALSE),""))</f>
        <v/>
      </c>
    </row>
    <row r="256" spans="1:21">
      <c r="A256" s="20" t="s">
        <v>925</v>
      </c>
      <c r="U256" s="14" t="s">
        <v>926</v>
      </c>
    </row>
    <row r="257" spans="1:21" s="15" customFormat="1">
      <c r="A257" s="18" t="str">
        <f t="shared" ref="A257:A291" si="22">+A219</f>
        <v>Factor 1</v>
      </c>
      <c r="B257" s="15" t="str">
        <f>IF(IFERROR(HLOOKUP(B$2,$M$2:$BL257,$J257,FALSE),"")="","",IFERROR(HLOOKUP(B$2,$M$2:$BL257,$J257,FALSE),""))</f>
        <v/>
      </c>
      <c r="C257" s="15" t="str">
        <f>IF(IFERROR(HLOOKUP(C$2,$M$2:$BL257,$J257,FALSE),"")="","",IFERROR(HLOOKUP(C$2,$M$2:$BL257,$J257,FALSE),""))</f>
        <v/>
      </c>
      <c r="D257" s="15" t="str">
        <f>IF(IFERROR(HLOOKUP(D$2,$M$2:$BL257,$J257,FALSE),"")="","",IFERROR(HLOOKUP(D$2,$M$2:$BL257,$J257,FALSE),""))</f>
        <v/>
      </c>
      <c r="E257" s="15" t="str">
        <f>IF(IFERROR(HLOOKUP(E$2,$M$2:$BL257,$J257,FALSE),"")="","",IFERROR(HLOOKUP(E$2,$M$2:$BL257,$J257,FALSE),""))</f>
        <v/>
      </c>
      <c r="F257" s="15" t="str">
        <f>IF(IFERROR(HLOOKUP(F$2,$M$2:$BL257,$J257,FALSE),"")="","",IFERROR(HLOOKUP(F$2,$M$2:$BL257,$J257,FALSE),""))</f>
        <v/>
      </c>
      <c r="G257" s="15" t="str">
        <f>IF(IFERROR(HLOOKUP(G$2,$M$2:$BL257,$J257,FALSE),"")="","",IFERROR(HLOOKUP(G$2,$M$2:$BL257,$J257,FALSE),""))</f>
        <v/>
      </c>
      <c r="U257" s="15" t="s">
        <v>927</v>
      </c>
    </row>
    <row r="258" spans="1:21">
      <c r="A258" s="12" t="str">
        <f t="shared" si="22"/>
        <v>AA and above</v>
      </c>
      <c r="B258" s="12" t="str">
        <f>IF(IFERROR(HLOOKUP(B$2,$M$2:$BL258,$J258,FALSE),"")="","",IFERROR(HLOOKUP(B$2,$M$2:$BL258,$J258,FALSE),""))</f>
        <v/>
      </c>
      <c r="C258" s="12" t="str">
        <f>IF(IFERROR(HLOOKUP(C$2,$M$2:$BL258,$J258,FALSE),"")="","",IFERROR(HLOOKUP(C$2,$M$2:$BL258,$J258,FALSE),""))</f>
        <v/>
      </c>
      <c r="D258" s="12" t="str">
        <f>IF(IFERROR(HLOOKUP(D$2,$M$2:$BL258,$J258,FALSE),"")="","",IFERROR(HLOOKUP(D$2,$M$2:$BL258,$J258,FALSE),""))</f>
        <v/>
      </c>
      <c r="E258" s="12" t="str">
        <f>IF(IFERROR(HLOOKUP(E$2,$M$2:$BL258,$J258,FALSE),"")="","",IFERROR(HLOOKUP(E$2,$M$2:$BL258,$J258,FALSE),""))</f>
        <v/>
      </c>
      <c r="F258" s="12" t="str">
        <f>IF(IFERROR(HLOOKUP(F$2,$M$2:$BL258,$J258,FALSE),"")="","",IFERROR(HLOOKUP(F$2,$M$2:$BL258,$J258,FALSE),""))</f>
        <v/>
      </c>
      <c r="G258" s="12" t="str">
        <f>IF(IFERROR(HLOOKUP(G$2,$M$2:$BL258,$J258,FALSE),"")="","",IFERROR(HLOOKUP(G$2,$M$2:$BL258,$J258,FALSE),""))</f>
        <v/>
      </c>
      <c r="U258" s="12" t="s">
        <v>800</v>
      </c>
    </row>
    <row r="259" spans="1:21">
      <c r="A259" s="12" t="str">
        <f t="shared" si="22"/>
        <v>A</v>
      </c>
      <c r="B259" s="12" t="str">
        <f>IF(IFERROR(HLOOKUP(B$2,$M$2:$BL259,$J259,FALSE),"")="","",IFERROR(HLOOKUP(B$2,$M$2:$BL259,$J259,FALSE),""))</f>
        <v/>
      </c>
      <c r="C259" s="12" t="str">
        <f>IF(IFERROR(HLOOKUP(C$2,$M$2:$BL259,$J259,FALSE),"")="","",IFERROR(HLOOKUP(C$2,$M$2:$BL259,$J259,FALSE),""))</f>
        <v/>
      </c>
      <c r="D259" s="12" t="str">
        <f>IF(IFERROR(HLOOKUP(D$2,$M$2:$BL259,$J259,FALSE),"")="","",IFERROR(HLOOKUP(D$2,$M$2:$BL259,$J259,FALSE),""))</f>
        <v/>
      </c>
      <c r="E259" s="12" t="str">
        <f>IF(IFERROR(HLOOKUP(E$2,$M$2:$BL259,$J259,FALSE),"")="","",IFERROR(HLOOKUP(E$2,$M$2:$BL259,$J259,FALSE),""))</f>
        <v/>
      </c>
      <c r="F259" s="12" t="str">
        <f>IF(IFERROR(HLOOKUP(F$2,$M$2:$BL259,$J259,FALSE),"")="","",IFERROR(HLOOKUP(F$2,$M$2:$BL259,$J259,FALSE),""))</f>
        <v/>
      </c>
      <c r="G259" s="12" t="str">
        <f>IF(IFERROR(HLOOKUP(G$2,$M$2:$BL259,$J259,FALSE),"")="","",IFERROR(HLOOKUP(G$2,$M$2:$BL259,$J259,FALSE),""))</f>
        <v/>
      </c>
      <c r="U259" s="12" t="s">
        <v>800</v>
      </c>
    </row>
    <row r="260" spans="1:21">
      <c r="A260" s="12" t="str">
        <f t="shared" si="22"/>
        <v>BBB</v>
      </c>
      <c r="B260" s="12" t="str">
        <f>IF(IFERROR(HLOOKUP(B$2,$M$2:$BL260,$J260,FALSE),"")="","",IFERROR(HLOOKUP(B$2,$M$2:$BL260,$J260,FALSE),""))</f>
        <v/>
      </c>
      <c r="C260" s="12" t="str">
        <f>IF(IFERROR(HLOOKUP(C$2,$M$2:$BL260,$J260,FALSE),"")="","",IFERROR(HLOOKUP(C$2,$M$2:$BL260,$J260,FALSE),""))</f>
        <v/>
      </c>
      <c r="D260" s="12" t="str">
        <f>IF(IFERROR(HLOOKUP(D$2,$M$2:$BL260,$J260,FALSE),"")="","",IFERROR(HLOOKUP(D$2,$M$2:$BL260,$J260,FALSE),""))</f>
        <v/>
      </c>
      <c r="E260" s="12" t="str">
        <f>IF(IFERROR(HLOOKUP(E$2,$M$2:$BL260,$J260,FALSE),"")="","",IFERROR(HLOOKUP(E$2,$M$2:$BL260,$J260,FALSE),""))</f>
        <v/>
      </c>
      <c r="F260" s="12" t="str">
        <f>IF(IFERROR(HLOOKUP(F$2,$M$2:$BL260,$J260,FALSE),"")="","",IFERROR(HLOOKUP(F$2,$M$2:$BL260,$J260,FALSE),""))</f>
        <v/>
      </c>
      <c r="G260" s="12" t="str">
        <f>IF(IFERROR(HLOOKUP(G$2,$M$2:$BL260,$J260,FALSE),"")="","",IFERROR(HLOOKUP(G$2,$M$2:$BL260,$J260,FALSE),""))</f>
        <v/>
      </c>
      <c r="U260" s="12" t="s">
        <v>800</v>
      </c>
    </row>
    <row r="261" spans="1:21">
      <c r="A261" s="12" t="str">
        <f t="shared" si="22"/>
        <v>BB</v>
      </c>
      <c r="B261" s="12" t="str">
        <f>IF(IFERROR(HLOOKUP(B$2,$M$2:$BL261,$J261,FALSE),"")="","",IFERROR(HLOOKUP(B$2,$M$2:$BL261,$J261,FALSE),""))</f>
        <v/>
      </c>
      <c r="C261" s="12" t="str">
        <f>IF(IFERROR(HLOOKUP(C$2,$M$2:$BL261,$J261,FALSE),"")="","",IFERROR(HLOOKUP(C$2,$M$2:$BL261,$J261,FALSE),""))</f>
        <v/>
      </c>
      <c r="D261" s="12" t="str">
        <f>IF(IFERROR(HLOOKUP(D$2,$M$2:$BL261,$J261,FALSE),"")="","",IFERROR(HLOOKUP(D$2,$M$2:$BL261,$J261,FALSE),""))</f>
        <v/>
      </c>
      <c r="E261" s="12" t="str">
        <f>IF(IFERROR(HLOOKUP(E$2,$M$2:$BL261,$J261,FALSE),"")="","",IFERROR(HLOOKUP(E$2,$M$2:$BL261,$J261,FALSE),""))</f>
        <v/>
      </c>
      <c r="F261" s="12" t="str">
        <f>IF(IFERROR(HLOOKUP(F$2,$M$2:$BL261,$J261,FALSE),"")="","",IFERROR(HLOOKUP(F$2,$M$2:$BL261,$J261,FALSE),""))</f>
        <v/>
      </c>
      <c r="G261" s="12" t="str">
        <f>IF(IFERROR(HLOOKUP(G$2,$M$2:$BL261,$J261,FALSE),"")="","",IFERROR(HLOOKUP(G$2,$M$2:$BL261,$J261,FALSE),""))</f>
        <v/>
      </c>
      <c r="U261" s="12" t="s">
        <v>928</v>
      </c>
    </row>
    <row r="262" spans="1:21">
      <c r="A262" s="12" t="str">
        <f t="shared" si="22"/>
        <v>B</v>
      </c>
      <c r="B262" s="12" t="str">
        <f>IF(IFERROR(HLOOKUP(B$2,$M$2:$BL262,$J262,FALSE),"")="","",IFERROR(HLOOKUP(B$2,$M$2:$BL262,$J262,FALSE),""))</f>
        <v/>
      </c>
      <c r="C262" s="12" t="str">
        <f>IF(IFERROR(HLOOKUP(C$2,$M$2:$BL262,$J262,FALSE),"")="","",IFERROR(HLOOKUP(C$2,$M$2:$BL262,$J262,FALSE),""))</f>
        <v/>
      </c>
      <c r="D262" s="12" t="str">
        <f>IF(IFERROR(HLOOKUP(D$2,$M$2:$BL262,$J262,FALSE),"")="","",IFERROR(HLOOKUP(D$2,$M$2:$BL262,$J262,FALSE),""))</f>
        <v/>
      </c>
      <c r="E262" s="12" t="str">
        <f>IF(IFERROR(HLOOKUP(E$2,$M$2:$BL262,$J262,FALSE),"")="","",IFERROR(HLOOKUP(E$2,$M$2:$BL262,$J262,FALSE),""))</f>
        <v/>
      </c>
      <c r="F262" s="12" t="str">
        <f>IF(IFERROR(HLOOKUP(F$2,$M$2:$BL262,$J262,FALSE),"")="","",IFERROR(HLOOKUP(F$2,$M$2:$BL262,$J262,FALSE),""))</f>
        <v/>
      </c>
      <c r="G262" s="12" t="str">
        <f>IF(IFERROR(HLOOKUP(G$2,$M$2:$BL262,$J262,FALSE),"")="","",IFERROR(HLOOKUP(G$2,$M$2:$BL262,$J262,FALSE),""))</f>
        <v/>
      </c>
      <c r="U262" s="12" t="s">
        <v>928</v>
      </c>
    </row>
    <row r="263" spans="1:21">
      <c r="A263" s="12" t="str">
        <f t="shared" si="22"/>
        <v>CCC and below</v>
      </c>
      <c r="B263" s="12" t="str">
        <f>IF(IFERROR(HLOOKUP(B$2,$M$2:$BL263,$J263,FALSE),"")="","",IFERROR(HLOOKUP(B$2,$M$2:$BL263,$J263,FALSE),""))</f>
        <v/>
      </c>
      <c r="C263" s="12" t="str">
        <f>IF(IFERROR(HLOOKUP(C$2,$M$2:$BL263,$J263,FALSE),"")="","",IFERROR(HLOOKUP(C$2,$M$2:$BL263,$J263,FALSE),""))</f>
        <v/>
      </c>
      <c r="D263" s="12" t="str">
        <f>IF(IFERROR(HLOOKUP(D$2,$M$2:$BL263,$J263,FALSE),"")="","",IFERROR(HLOOKUP(D$2,$M$2:$BL263,$J263,FALSE),""))</f>
        <v/>
      </c>
      <c r="E263" s="12" t="str">
        <f>IF(IFERROR(HLOOKUP(E$2,$M$2:$BL263,$J263,FALSE),"")="","",IFERROR(HLOOKUP(E$2,$M$2:$BL263,$J263,FALSE),""))</f>
        <v/>
      </c>
      <c r="F263" s="12" t="str">
        <f>IF(IFERROR(HLOOKUP(F$2,$M$2:$BL263,$J263,FALSE),"")="","",IFERROR(HLOOKUP(F$2,$M$2:$BL263,$J263,FALSE),""))</f>
        <v/>
      </c>
      <c r="G263" s="12" t="str">
        <f>IF(IFERROR(HLOOKUP(G$2,$M$2:$BL263,$J263,FALSE),"")="","",IFERROR(HLOOKUP(G$2,$M$2:$BL263,$J263,FALSE),""))</f>
        <v/>
      </c>
      <c r="U263" s="12" t="s">
        <v>148</v>
      </c>
    </row>
    <row r="264" spans="1:21" s="15" customFormat="1">
      <c r="A264" s="18" t="str">
        <f t="shared" si="22"/>
        <v>Factor 2</v>
      </c>
      <c r="B264" s="15" t="str">
        <f>IF(IFERROR(HLOOKUP(B$2,$M$2:$BL264,$J264,FALSE),"")="","",IFERROR(HLOOKUP(B$2,$M$2:$BL264,$J264,FALSE),""))</f>
        <v/>
      </c>
      <c r="C264" s="15" t="str">
        <f>IF(IFERROR(HLOOKUP(C$2,$M$2:$BL264,$J264,FALSE),"")="","",IFERROR(HLOOKUP(C$2,$M$2:$BL264,$J264,FALSE),""))</f>
        <v/>
      </c>
      <c r="D264" s="15" t="str">
        <f>IF(IFERROR(HLOOKUP(D$2,$M$2:$BL264,$J264,FALSE),"")="","",IFERROR(HLOOKUP(D$2,$M$2:$BL264,$J264,FALSE),""))</f>
        <v/>
      </c>
      <c r="E264" s="15" t="str">
        <f>IF(IFERROR(HLOOKUP(E$2,$M$2:$BL264,$J264,FALSE),"")="","",IFERROR(HLOOKUP(E$2,$M$2:$BL264,$J264,FALSE),""))</f>
        <v/>
      </c>
      <c r="F264" s="15" t="str">
        <f>IF(IFERROR(HLOOKUP(F$2,$M$2:$BL264,$J264,FALSE),"")="","",IFERROR(HLOOKUP(F$2,$M$2:$BL264,$J264,FALSE),""))</f>
        <v/>
      </c>
      <c r="G264" s="15" t="str">
        <f>IF(IFERROR(HLOOKUP(G$2,$M$2:$BL264,$J264,FALSE),"")="","",IFERROR(HLOOKUP(G$2,$M$2:$BL264,$J264,FALSE),""))</f>
        <v/>
      </c>
      <c r="U264" s="15" t="s">
        <v>929</v>
      </c>
    </row>
    <row r="265" spans="1:21">
      <c r="A265" s="12" t="str">
        <f t="shared" si="22"/>
        <v>AA and above</v>
      </c>
      <c r="B265" s="12" t="str">
        <f>IF(IFERROR(HLOOKUP(B$2,$M$2:$BL265,$J265,FALSE),"")="","",IFERROR(HLOOKUP(B$2,$M$2:$BL265,$J265,FALSE),""))</f>
        <v/>
      </c>
      <c r="C265" s="12" t="str">
        <f>IF(IFERROR(HLOOKUP(C$2,$M$2:$BL265,$J265,FALSE),"")="","",IFERROR(HLOOKUP(C$2,$M$2:$BL265,$J265,FALSE),""))</f>
        <v/>
      </c>
      <c r="D265" s="12" t="str">
        <f>IF(IFERROR(HLOOKUP(D$2,$M$2:$BL265,$J265,FALSE),"")="","",IFERROR(HLOOKUP(D$2,$M$2:$BL265,$J265,FALSE),""))</f>
        <v/>
      </c>
      <c r="E265" s="12" t="str">
        <f>IF(IFERROR(HLOOKUP(E$2,$M$2:$BL265,$J265,FALSE),"")="","",IFERROR(HLOOKUP(E$2,$M$2:$BL265,$J265,FALSE),""))</f>
        <v/>
      </c>
      <c r="F265" s="12" t="str">
        <f>IF(IFERROR(HLOOKUP(F$2,$M$2:$BL265,$J265,FALSE),"")="","",IFERROR(HLOOKUP(F$2,$M$2:$BL265,$J265,FALSE),""))</f>
        <v/>
      </c>
      <c r="G265" s="12" t="str">
        <f>IF(IFERROR(HLOOKUP(G$2,$M$2:$BL265,$J265,FALSE),"")="","",IFERROR(HLOOKUP(G$2,$M$2:$BL265,$J265,FALSE),""))</f>
        <v/>
      </c>
      <c r="U265" s="12" t="s">
        <v>930</v>
      </c>
    </row>
    <row r="266" spans="1:21">
      <c r="A266" s="12" t="str">
        <f t="shared" si="22"/>
        <v>A</v>
      </c>
      <c r="B266" s="12" t="str">
        <f>IF(IFERROR(HLOOKUP(B$2,$M$2:$BL266,$J266,FALSE),"")="","",IFERROR(HLOOKUP(B$2,$M$2:$BL266,$J266,FALSE),""))</f>
        <v/>
      </c>
      <c r="C266" s="12" t="str">
        <f>IF(IFERROR(HLOOKUP(C$2,$M$2:$BL266,$J266,FALSE),"")="","",IFERROR(HLOOKUP(C$2,$M$2:$BL266,$J266,FALSE),""))</f>
        <v/>
      </c>
      <c r="D266" s="12" t="str">
        <f>IF(IFERROR(HLOOKUP(D$2,$M$2:$BL266,$J266,FALSE),"")="","",IFERROR(HLOOKUP(D$2,$M$2:$BL266,$J266,FALSE),""))</f>
        <v/>
      </c>
      <c r="E266" s="12" t="str">
        <f>IF(IFERROR(HLOOKUP(E$2,$M$2:$BL266,$J266,FALSE),"")="","",IFERROR(HLOOKUP(E$2,$M$2:$BL266,$J266,FALSE),""))</f>
        <v/>
      </c>
      <c r="F266" s="12" t="str">
        <f>IF(IFERROR(HLOOKUP(F$2,$M$2:$BL266,$J266,FALSE),"")="","",IFERROR(HLOOKUP(F$2,$M$2:$BL266,$J266,FALSE),""))</f>
        <v/>
      </c>
      <c r="G266" s="12" t="str">
        <f>IF(IFERROR(HLOOKUP(G$2,$M$2:$BL266,$J266,FALSE),"")="","",IFERROR(HLOOKUP(G$2,$M$2:$BL266,$J266,FALSE),""))</f>
        <v/>
      </c>
      <c r="U266" s="12" t="s">
        <v>930</v>
      </c>
    </row>
    <row r="267" spans="1:21" ht="12.75" customHeight="1">
      <c r="A267" s="12" t="str">
        <f t="shared" si="22"/>
        <v>BBB</v>
      </c>
      <c r="B267" s="12" t="str">
        <f>IF(IFERROR(HLOOKUP(B$2,$M$2:$BL267,$J267,FALSE),"")="","",IFERROR(HLOOKUP(B$2,$M$2:$BL267,$J267,FALSE),""))</f>
        <v/>
      </c>
      <c r="C267" s="12" t="str">
        <f>IF(IFERROR(HLOOKUP(C$2,$M$2:$BL267,$J267,FALSE),"")="","",IFERROR(HLOOKUP(C$2,$M$2:$BL267,$J267,FALSE),""))</f>
        <v/>
      </c>
      <c r="D267" s="12" t="str">
        <f>IF(IFERROR(HLOOKUP(D$2,$M$2:$BL267,$J267,FALSE),"")="","",IFERROR(HLOOKUP(D$2,$M$2:$BL267,$J267,FALSE),""))</f>
        <v/>
      </c>
      <c r="E267" s="12" t="str">
        <f>IF(IFERROR(HLOOKUP(E$2,$M$2:$BL267,$J267,FALSE),"")="","",IFERROR(HLOOKUP(E$2,$M$2:$BL267,$J267,FALSE),""))</f>
        <v/>
      </c>
      <c r="F267" s="12" t="str">
        <f>IF(IFERROR(HLOOKUP(F$2,$M$2:$BL267,$J267,FALSE),"")="","",IFERROR(HLOOKUP(F$2,$M$2:$BL267,$J267,FALSE),""))</f>
        <v/>
      </c>
      <c r="G267" s="12" t="str">
        <f>IF(IFERROR(HLOOKUP(G$2,$M$2:$BL267,$J267,FALSE),"")="","",IFERROR(HLOOKUP(G$2,$M$2:$BL267,$J267,FALSE),""))</f>
        <v/>
      </c>
      <c r="U267" s="12" t="s">
        <v>930</v>
      </c>
    </row>
    <row r="268" spans="1:21" ht="12.75" customHeight="1">
      <c r="A268" s="12" t="str">
        <f t="shared" si="22"/>
        <v>BB</v>
      </c>
      <c r="B268" s="12" t="str">
        <f>IF(IFERROR(HLOOKUP(B$2,$M$2:$BL268,$J268,FALSE),"")="","",IFERROR(HLOOKUP(B$2,$M$2:$BL268,$J268,FALSE),""))</f>
        <v/>
      </c>
      <c r="C268" s="12" t="str">
        <f>IF(IFERROR(HLOOKUP(C$2,$M$2:$BL268,$J268,FALSE),"")="","",IFERROR(HLOOKUP(C$2,$M$2:$BL268,$J268,FALSE),""))</f>
        <v/>
      </c>
      <c r="D268" s="12" t="str">
        <f>IF(IFERROR(HLOOKUP(D$2,$M$2:$BL268,$J268,FALSE),"")="","",IFERROR(HLOOKUP(D$2,$M$2:$BL268,$J268,FALSE),""))</f>
        <v/>
      </c>
      <c r="E268" s="12" t="str">
        <f>IF(IFERROR(HLOOKUP(E$2,$M$2:$BL268,$J268,FALSE),"")="","",IFERROR(HLOOKUP(E$2,$M$2:$BL268,$J268,FALSE),""))</f>
        <v/>
      </c>
      <c r="F268" s="12" t="str">
        <f>IF(IFERROR(HLOOKUP(F$2,$M$2:$BL268,$J268,FALSE),"")="","",IFERROR(HLOOKUP(F$2,$M$2:$BL268,$J268,FALSE),""))</f>
        <v/>
      </c>
      <c r="G268" s="12" t="str">
        <f>IF(IFERROR(HLOOKUP(G$2,$M$2:$BL268,$J268,FALSE),"")="","",IFERROR(HLOOKUP(G$2,$M$2:$BL268,$J268,FALSE),""))</f>
        <v/>
      </c>
      <c r="U268" s="23" t="s">
        <v>931</v>
      </c>
    </row>
    <row r="269" spans="1:21" ht="12.75" customHeight="1">
      <c r="A269" s="12" t="str">
        <f t="shared" si="22"/>
        <v>B</v>
      </c>
      <c r="B269" s="12" t="str">
        <f>IF(IFERROR(HLOOKUP(B$2,$M$2:$BL269,$J269,FALSE),"")="","",IFERROR(HLOOKUP(B$2,$M$2:$BL269,$J269,FALSE),""))</f>
        <v/>
      </c>
      <c r="C269" s="12" t="str">
        <f>IF(IFERROR(HLOOKUP(C$2,$M$2:$BL269,$J269,FALSE),"")="","",IFERROR(HLOOKUP(C$2,$M$2:$BL269,$J269,FALSE),""))</f>
        <v/>
      </c>
      <c r="D269" s="12" t="str">
        <f>IF(IFERROR(HLOOKUP(D$2,$M$2:$BL269,$J269,FALSE),"")="","",IFERROR(HLOOKUP(D$2,$M$2:$BL269,$J269,FALSE),""))</f>
        <v/>
      </c>
      <c r="E269" s="12" t="str">
        <f>IF(IFERROR(HLOOKUP(E$2,$M$2:$BL269,$J269,FALSE),"")="","",IFERROR(HLOOKUP(E$2,$M$2:$BL269,$J269,FALSE),""))</f>
        <v/>
      </c>
      <c r="F269" s="12" t="str">
        <f>IF(IFERROR(HLOOKUP(F$2,$M$2:$BL269,$J269,FALSE),"")="","",IFERROR(HLOOKUP(F$2,$M$2:$BL269,$J269,FALSE),""))</f>
        <v/>
      </c>
      <c r="G269" s="12" t="str">
        <f>IF(IFERROR(HLOOKUP(G$2,$M$2:$BL269,$J269,FALSE),"")="","",IFERROR(HLOOKUP(G$2,$M$2:$BL269,$J269,FALSE),""))</f>
        <v/>
      </c>
      <c r="U269" s="23" t="s">
        <v>931</v>
      </c>
    </row>
    <row r="270" spans="1:21">
      <c r="A270" s="12" t="str">
        <f t="shared" si="22"/>
        <v>CCC and below</v>
      </c>
      <c r="B270" s="12" t="str">
        <f>IF(IFERROR(HLOOKUP(B$2,$M$2:$BL270,$J270,FALSE),"")="","",IFERROR(HLOOKUP(B$2,$M$2:$BL270,$J270,FALSE),""))</f>
        <v/>
      </c>
      <c r="C270" s="12" t="str">
        <f>IF(IFERROR(HLOOKUP(C$2,$M$2:$BL270,$J270,FALSE),"")="","",IFERROR(HLOOKUP(C$2,$M$2:$BL270,$J270,FALSE),""))</f>
        <v/>
      </c>
      <c r="D270" s="12" t="str">
        <f>IF(IFERROR(HLOOKUP(D$2,$M$2:$BL270,$J270,FALSE),"")="","",IFERROR(HLOOKUP(D$2,$M$2:$BL270,$J270,FALSE),""))</f>
        <v/>
      </c>
      <c r="E270" s="12" t="str">
        <f>IF(IFERROR(HLOOKUP(E$2,$M$2:$BL270,$J270,FALSE),"")="","",IFERROR(HLOOKUP(E$2,$M$2:$BL270,$J270,FALSE),""))</f>
        <v/>
      </c>
      <c r="F270" s="12" t="str">
        <f>IF(IFERROR(HLOOKUP(F$2,$M$2:$BL270,$J270,FALSE),"")="","",IFERROR(HLOOKUP(F$2,$M$2:$BL270,$J270,FALSE),""))</f>
        <v/>
      </c>
      <c r="G270" s="12" t="str">
        <f>IF(IFERROR(HLOOKUP(G$2,$M$2:$BL270,$J270,FALSE),"")="","",IFERROR(HLOOKUP(G$2,$M$2:$BL270,$J270,FALSE),""))</f>
        <v/>
      </c>
      <c r="U270" s="12" t="s">
        <v>148</v>
      </c>
    </row>
    <row r="271" spans="1:21" s="15" customFormat="1">
      <c r="A271" s="18" t="str">
        <f t="shared" si="22"/>
        <v>Factor 3</v>
      </c>
      <c r="B271" s="15" t="str">
        <f>IF(IFERROR(HLOOKUP(B$2,$M$2:$BL271,$J271,FALSE),"")="","",IFERROR(HLOOKUP(B$2,$M$2:$BL271,$J271,FALSE),""))</f>
        <v/>
      </c>
      <c r="C271" s="15" t="str">
        <f>IF(IFERROR(HLOOKUP(C$2,$M$2:$BL271,$J271,FALSE),"")="","",IFERROR(HLOOKUP(C$2,$M$2:$BL271,$J271,FALSE),""))</f>
        <v/>
      </c>
      <c r="D271" s="15" t="str">
        <f>IF(IFERROR(HLOOKUP(D$2,$M$2:$BL271,$J271,FALSE),"")="","",IFERROR(HLOOKUP(D$2,$M$2:$BL271,$J271,FALSE),""))</f>
        <v/>
      </c>
      <c r="E271" s="15" t="str">
        <f>IF(IFERROR(HLOOKUP(E$2,$M$2:$BL271,$J271,FALSE),"")="","",IFERROR(HLOOKUP(E$2,$M$2:$BL271,$J271,FALSE),""))</f>
        <v/>
      </c>
      <c r="F271" s="15" t="str">
        <f>IF(IFERROR(HLOOKUP(F$2,$M$2:$BL271,$J271,FALSE),"")="","",IFERROR(HLOOKUP(F$2,$M$2:$BL271,$J271,FALSE),""))</f>
        <v/>
      </c>
      <c r="G271" s="15" t="str">
        <f>IF(IFERROR(HLOOKUP(G$2,$M$2:$BL271,$J271,FALSE),"")="","",IFERROR(HLOOKUP(G$2,$M$2:$BL271,$J271,FALSE),""))</f>
        <v/>
      </c>
    </row>
    <row r="272" spans="1:21">
      <c r="A272" s="12" t="str">
        <f t="shared" si="22"/>
        <v>AA and above</v>
      </c>
      <c r="B272" s="12" t="str">
        <f>IF(IFERROR(HLOOKUP(B$2,$M$2:$BL272,$J272,FALSE),"")="","",IFERROR(HLOOKUP(B$2,$M$2:$BL272,$J272,FALSE),""))</f>
        <v/>
      </c>
      <c r="C272" s="12" t="str">
        <f>IF(IFERROR(HLOOKUP(C$2,$M$2:$BL272,$J272,FALSE),"")="","",IFERROR(HLOOKUP(C$2,$M$2:$BL272,$J272,FALSE),""))</f>
        <v/>
      </c>
      <c r="D272" s="12" t="str">
        <f>IF(IFERROR(HLOOKUP(D$2,$M$2:$BL272,$J272,FALSE),"")="","",IFERROR(HLOOKUP(D$2,$M$2:$BL272,$J272,FALSE),""))</f>
        <v/>
      </c>
      <c r="E272" s="12" t="str">
        <f>IF(IFERROR(HLOOKUP(E$2,$M$2:$BL272,$J272,FALSE),"")="","",IFERROR(HLOOKUP(E$2,$M$2:$BL272,$J272,FALSE),""))</f>
        <v/>
      </c>
      <c r="F272" s="12" t="str">
        <f>IF(IFERROR(HLOOKUP(F$2,$M$2:$BL272,$J272,FALSE),"")="","",IFERROR(HLOOKUP(F$2,$M$2:$BL272,$J272,FALSE),""))</f>
        <v/>
      </c>
      <c r="G272" s="12" t="str">
        <f>IF(IFERROR(HLOOKUP(G$2,$M$2:$BL272,$J272,FALSE),"")="","",IFERROR(HLOOKUP(G$2,$M$2:$BL272,$J272,FALSE),""))</f>
        <v/>
      </c>
    </row>
    <row r="273" spans="1:7">
      <c r="A273" s="12" t="str">
        <f t="shared" si="22"/>
        <v>A</v>
      </c>
      <c r="B273" s="12" t="str">
        <f>IF(IFERROR(HLOOKUP(B$2,$M$2:$BL273,$J273,FALSE),"")="","",IFERROR(HLOOKUP(B$2,$M$2:$BL273,$J273,FALSE),""))</f>
        <v/>
      </c>
      <c r="C273" s="12" t="str">
        <f>IF(IFERROR(HLOOKUP(C$2,$M$2:$BL273,$J273,FALSE),"")="","",IFERROR(HLOOKUP(C$2,$M$2:$BL273,$J273,FALSE),""))</f>
        <v/>
      </c>
      <c r="D273" s="12" t="str">
        <f>IF(IFERROR(HLOOKUP(D$2,$M$2:$BL273,$J273,FALSE),"")="","",IFERROR(HLOOKUP(D$2,$M$2:$BL273,$J273,FALSE),""))</f>
        <v/>
      </c>
      <c r="E273" s="12" t="str">
        <f>IF(IFERROR(HLOOKUP(E$2,$M$2:$BL273,$J273,FALSE),"")="","",IFERROR(HLOOKUP(E$2,$M$2:$BL273,$J273,FALSE),""))</f>
        <v/>
      </c>
      <c r="F273" s="12" t="str">
        <f>IF(IFERROR(HLOOKUP(F$2,$M$2:$BL273,$J273,FALSE),"")="","",IFERROR(HLOOKUP(F$2,$M$2:$BL273,$J273,FALSE),""))</f>
        <v/>
      </c>
      <c r="G273" s="12" t="str">
        <f>IF(IFERROR(HLOOKUP(G$2,$M$2:$BL273,$J273,FALSE),"")="","",IFERROR(HLOOKUP(G$2,$M$2:$BL273,$J273,FALSE),""))</f>
        <v/>
      </c>
    </row>
    <row r="274" spans="1:7">
      <c r="A274" s="12" t="str">
        <f t="shared" si="22"/>
        <v>BBB</v>
      </c>
      <c r="B274" s="12" t="str">
        <f>IF(IFERROR(HLOOKUP(B$2,$M$2:$BL274,$J274,FALSE),"")="","",IFERROR(HLOOKUP(B$2,$M$2:$BL274,$J274,FALSE),""))</f>
        <v/>
      </c>
      <c r="C274" s="12" t="str">
        <f>IF(IFERROR(HLOOKUP(C$2,$M$2:$BL274,$J274,FALSE),"")="","",IFERROR(HLOOKUP(C$2,$M$2:$BL274,$J274,FALSE),""))</f>
        <v/>
      </c>
      <c r="D274" s="12" t="str">
        <f>IF(IFERROR(HLOOKUP(D$2,$M$2:$BL274,$J274,FALSE),"")="","",IFERROR(HLOOKUP(D$2,$M$2:$BL274,$J274,FALSE),""))</f>
        <v/>
      </c>
      <c r="E274" s="12" t="str">
        <f>IF(IFERROR(HLOOKUP(E$2,$M$2:$BL274,$J274,FALSE),"")="","",IFERROR(HLOOKUP(E$2,$M$2:$BL274,$J274,FALSE),""))</f>
        <v/>
      </c>
      <c r="F274" s="12" t="str">
        <f>IF(IFERROR(HLOOKUP(F$2,$M$2:$BL274,$J274,FALSE),"")="","",IFERROR(HLOOKUP(F$2,$M$2:$BL274,$J274,FALSE),""))</f>
        <v/>
      </c>
      <c r="G274" s="12" t="str">
        <f>IF(IFERROR(HLOOKUP(G$2,$M$2:$BL274,$J274,FALSE),"")="","",IFERROR(HLOOKUP(G$2,$M$2:$BL274,$J274,FALSE),""))</f>
        <v/>
      </c>
    </row>
    <row r="275" spans="1:7">
      <c r="A275" s="12" t="str">
        <f t="shared" si="22"/>
        <v>BB</v>
      </c>
      <c r="B275" s="12" t="str">
        <f>IF(IFERROR(HLOOKUP(B$2,$M$2:$BL275,$J275,FALSE),"")="","",IFERROR(HLOOKUP(B$2,$M$2:$BL275,$J275,FALSE),""))</f>
        <v/>
      </c>
      <c r="C275" s="12" t="str">
        <f>IF(IFERROR(HLOOKUP(C$2,$M$2:$BL275,$J275,FALSE),"")="","",IFERROR(HLOOKUP(C$2,$M$2:$BL275,$J275,FALSE),""))</f>
        <v/>
      </c>
      <c r="D275" s="12" t="str">
        <f>IF(IFERROR(HLOOKUP(D$2,$M$2:$BL275,$J275,FALSE),"")="","",IFERROR(HLOOKUP(D$2,$M$2:$BL275,$J275,FALSE),""))</f>
        <v/>
      </c>
      <c r="E275" s="12" t="str">
        <f>IF(IFERROR(HLOOKUP(E$2,$M$2:$BL275,$J275,FALSE),"")="","",IFERROR(HLOOKUP(E$2,$M$2:$BL275,$J275,FALSE),""))</f>
        <v/>
      </c>
      <c r="F275" s="12" t="str">
        <f>IF(IFERROR(HLOOKUP(F$2,$M$2:$BL275,$J275,FALSE),"")="","",IFERROR(HLOOKUP(F$2,$M$2:$BL275,$J275,FALSE),""))</f>
        <v/>
      </c>
      <c r="G275" s="12" t="str">
        <f>IF(IFERROR(HLOOKUP(G$2,$M$2:$BL275,$J275,FALSE),"")="","",IFERROR(HLOOKUP(G$2,$M$2:$BL275,$J275,FALSE),""))</f>
        <v/>
      </c>
    </row>
    <row r="276" spans="1:7">
      <c r="A276" s="12" t="str">
        <f t="shared" si="22"/>
        <v>B</v>
      </c>
      <c r="B276" s="12" t="str">
        <f>IF(IFERROR(HLOOKUP(B$2,$M$2:$BL276,$J276,FALSE),"")="","",IFERROR(HLOOKUP(B$2,$M$2:$BL276,$J276,FALSE),""))</f>
        <v/>
      </c>
      <c r="C276" s="12" t="str">
        <f>IF(IFERROR(HLOOKUP(C$2,$M$2:$BL276,$J276,FALSE),"")="","",IFERROR(HLOOKUP(C$2,$M$2:$BL276,$J276,FALSE),""))</f>
        <v/>
      </c>
      <c r="D276" s="12" t="str">
        <f>IF(IFERROR(HLOOKUP(D$2,$M$2:$BL276,$J276,FALSE),"")="","",IFERROR(HLOOKUP(D$2,$M$2:$BL276,$J276,FALSE),""))</f>
        <v/>
      </c>
      <c r="E276" s="12" t="str">
        <f>IF(IFERROR(HLOOKUP(E$2,$M$2:$BL276,$J276,FALSE),"")="","",IFERROR(HLOOKUP(E$2,$M$2:$BL276,$J276,FALSE),""))</f>
        <v/>
      </c>
      <c r="F276" s="12" t="str">
        <f>IF(IFERROR(HLOOKUP(F$2,$M$2:$BL276,$J276,FALSE),"")="","",IFERROR(HLOOKUP(F$2,$M$2:$BL276,$J276,FALSE),""))</f>
        <v/>
      </c>
      <c r="G276" s="12" t="str">
        <f>IF(IFERROR(HLOOKUP(G$2,$M$2:$BL276,$J276,FALSE),"")="","",IFERROR(HLOOKUP(G$2,$M$2:$BL276,$J276,FALSE),""))</f>
        <v/>
      </c>
    </row>
    <row r="277" spans="1:7">
      <c r="A277" s="12" t="str">
        <f t="shared" si="22"/>
        <v>CCC and below</v>
      </c>
      <c r="B277" s="12" t="str">
        <f>IF(IFERROR(HLOOKUP(B$2,$M$2:$BL277,$J277,FALSE),"")="","",IFERROR(HLOOKUP(B$2,$M$2:$BL277,$J277,FALSE),""))</f>
        <v/>
      </c>
      <c r="C277" s="12" t="str">
        <f>IF(IFERROR(HLOOKUP(C$2,$M$2:$BL277,$J277,FALSE),"")="","",IFERROR(HLOOKUP(C$2,$M$2:$BL277,$J277,FALSE),""))</f>
        <v/>
      </c>
      <c r="D277" s="12" t="str">
        <f>IF(IFERROR(HLOOKUP(D$2,$M$2:$BL277,$J277,FALSE),"")="","",IFERROR(HLOOKUP(D$2,$M$2:$BL277,$J277,FALSE),""))</f>
        <v/>
      </c>
      <c r="E277" s="12" t="str">
        <f>IF(IFERROR(HLOOKUP(E$2,$M$2:$BL277,$J277,FALSE),"")="","",IFERROR(HLOOKUP(E$2,$M$2:$BL277,$J277,FALSE),""))</f>
        <v/>
      </c>
      <c r="F277" s="12" t="str">
        <f>IF(IFERROR(HLOOKUP(F$2,$M$2:$BL277,$J277,FALSE),"")="","",IFERROR(HLOOKUP(F$2,$M$2:$BL277,$J277,FALSE),""))</f>
        <v/>
      </c>
      <c r="G277" s="12" t="str">
        <f>IF(IFERROR(HLOOKUP(G$2,$M$2:$BL277,$J277,FALSE),"")="","",IFERROR(HLOOKUP(G$2,$M$2:$BL277,$J277,FALSE),""))</f>
        <v/>
      </c>
    </row>
    <row r="278" spans="1:7" s="15" customFormat="1">
      <c r="A278" s="18" t="str">
        <f t="shared" si="22"/>
        <v>Factor 4</v>
      </c>
      <c r="B278" s="15" t="str">
        <f>IF(IFERROR(HLOOKUP(B$2,$M$2:$BL278,$J278,FALSE),"")="","",IFERROR(HLOOKUP(B$2,$M$2:$BL278,$J278,FALSE),""))</f>
        <v/>
      </c>
      <c r="C278" s="15" t="str">
        <f>IF(IFERROR(HLOOKUP(C$2,$M$2:$BL278,$J278,FALSE),"")="","",IFERROR(HLOOKUP(C$2,$M$2:$BL278,$J278,FALSE),""))</f>
        <v/>
      </c>
      <c r="D278" s="15" t="str">
        <f>IF(IFERROR(HLOOKUP(D$2,$M$2:$BL278,$J278,FALSE),"")="","",IFERROR(HLOOKUP(D$2,$M$2:$BL278,$J278,FALSE),""))</f>
        <v/>
      </c>
      <c r="E278" s="15" t="str">
        <f>IF(IFERROR(HLOOKUP(E$2,$M$2:$BL278,$J278,FALSE),"")="","",IFERROR(HLOOKUP(E$2,$M$2:$BL278,$J278,FALSE),""))</f>
        <v/>
      </c>
      <c r="F278" s="15" t="str">
        <f>IF(IFERROR(HLOOKUP(F$2,$M$2:$BL278,$J278,FALSE),"")="","",IFERROR(HLOOKUP(F$2,$M$2:$BL278,$J278,FALSE),""))</f>
        <v/>
      </c>
      <c r="G278" s="15" t="str">
        <f>IF(IFERROR(HLOOKUP(G$2,$M$2:$BL278,$J278,FALSE),"")="","",IFERROR(HLOOKUP(G$2,$M$2:$BL278,$J278,FALSE),""))</f>
        <v/>
      </c>
    </row>
    <row r="279" spans="1:7">
      <c r="A279" s="12" t="str">
        <f t="shared" si="22"/>
        <v>AA and above</v>
      </c>
      <c r="B279" s="12" t="str">
        <f>IF(IFERROR(HLOOKUP(B$2,$M$2:$BL279,$J279,FALSE),"")="","",IFERROR(HLOOKUP(B$2,$M$2:$BL279,$J279,FALSE),""))</f>
        <v/>
      </c>
      <c r="C279" s="12" t="str">
        <f>IF(IFERROR(HLOOKUP(C$2,$M$2:$BL279,$J279,FALSE),"")="","",IFERROR(HLOOKUP(C$2,$M$2:$BL279,$J279,FALSE),""))</f>
        <v/>
      </c>
      <c r="D279" s="12" t="str">
        <f>IF(IFERROR(HLOOKUP(D$2,$M$2:$BL279,$J279,FALSE),"")="","",IFERROR(HLOOKUP(D$2,$M$2:$BL279,$J279,FALSE),""))</f>
        <v/>
      </c>
      <c r="E279" s="12" t="str">
        <f>IF(IFERROR(HLOOKUP(E$2,$M$2:$BL279,$J279,FALSE),"")="","",IFERROR(HLOOKUP(E$2,$M$2:$BL279,$J279,FALSE),""))</f>
        <v/>
      </c>
      <c r="F279" s="12" t="str">
        <f>IF(IFERROR(HLOOKUP(F$2,$M$2:$BL279,$J279,FALSE),"")="","",IFERROR(HLOOKUP(F$2,$M$2:$BL279,$J279,FALSE),""))</f>
        <v/>
      </c>
      <c r="G279" s="12" t="str">
        <f>IF(IFERROR(HLOOKUP(G$2,$M$2:$BL279,$J279,FALSE),"")="","",IFERROR(HLOOKUP(G$2,$M$2:$BL279,$J279,FALSE),""))</f>
        <v/>
      </c>
    </row>
    <row r="280" spans="1:7">
      <c r="A280" s="12" t="str">
        <f t="shared" si="22"/>
        <v>A</v>
      </c>
      <c r="B280" s="12" t="str">
        <f>IF(IFERROR(HLOOKUP(B$2,$M$2:$BL280,$J280,FALSE),"")="","",IFERROR(HLOOKUP(B$2,$M$2:$BL280,$J280,FALSE),""))</f>
        <v/>
      </c>
      <c r="C280" s="12" t="str">
        <f>IF(IFERROR(HLOOKUP(C$2,$M$2:$BL280,$J280,FALSE),"")="","",IFERROR(HLOOKUP(C$2,$M$2:$BL280,$J280,FALSE),""))</f>
        <v/>
      </c>
      <c r="D280" s="12" t="str">
        <f>IF(IFERROR(HLOOKUP(D$2,$M$2:$BL280,$J280,FALSE),"")="","",IFERROR(HLOOKUP(D$2,$M$2:$BL280,$J280,FALSE),""))</f>
        <v/>
      </c>
      <c r="E280" s="12" t="str">
        <f>IF(IFERROR(HLOOKUP(E$2,$M$2:$BL280,$J280,FALSE),"")="","",IFERROR(HLOOKUP(E$2,$M$2:$BL280,$J280,FALSE),""))</f>
        <v/>
      </c>
      <c r="F280" s="12" t="str">
        <f>IF(IFERROR(HLOOKUP(F$2,$M$2:$BL280,$J280,FALSE),"")="","",IFERROR(HLOOKUP(F$2,$M$2:$BL280,$J280,FALSE),""))</f>
        <v/>
      </c>
      <c r="G280" s="12" t="str">
        <f>IF(IFERROR(HLOOKUP(G$2,$M$2:$BL280,$J280,FALSE),"")="","",IFERROR(HLOOKUP(G$2,$M$2:$BL280,$J280,FALSE),""))</f>
        <v/>
      </c>
    </row>
    <row r="281" spans="1:7">
      <c r="A281" s="12" t="str">
        <f t="shared" si="22"/>
        <v>BBB</v>
      </c>
      <c r="B281" s="12" t="str">
        <f>IF(IFERROR(HLOOKUP(B$2,$M$2:$BL281,$J281,FALSE),"")="","",IFERROR(HLOOKUP(B$2,$M$2:$BL281,$J281,FALSE),""))</f>
        <v/>
      </c>
      <c r="C281" s="12" t="str">
        <f>IF(IFERROR(HLOOKUP(C$2,$M$2:$BL281,$J281,FALSE),"")="","",IFERROR(HLOOKUP(C$2,$M$2:$BL281,$J281,FALSE),""))</f>
        <v/>
      </c>
      <c r="D281" s="12" t="str">
        <f>IF(IFERROR(HLOOKUP(D$2,$M$2:$BL281,$J281,FALSE),"")="","",IFERROR(HLOOKUP(D$2,$M$2:$BL281,$J281,FALSE),""))</f>
        <v/>
      </c>
      <c r="E281" s="12" t="str">
        <f>IF(IFERROR(HLOOKUP(E$2,$M$2:$BL281,$J281,FALSE),"")="","",IFERROR(HLOOKUP(E$2,$M$2:$BL281,$J281,FALSE),""))</f>
        <v/>
      </c>
      <c r="F281" s="12" t="str">
        <f>IF(IFERROR(HLOOKUP(F$2,$M$2:$BL281,$J281,FALSE),"")="","",IFERROR(HLOOKUP(F$2,$M$2:$BL281,$J281,FALSE),""))</f>
        <v/>
      </c>
      <c r="G281" s="12" t="str">
        <f>IF(IFERROR(HLOOKUP(G$2,$M$2:$BL281,$J281,FALSE),"")="","",IFERROR(HLOOKUP(G$2,$M$2:$BL281,$J281,FALSE),""))</f>
        <v/>
      </c>
    </row>
    <row r="282" spans="1:7">
      <c r="A282" s="12" t="str">
        <f t="shared" si="22"/>
        <v>BB</v>
      </c>
      <c r="B282" s="12" t="str">
        <f>IF(IFERROR(HLOOKUP(B$2,$M$2:$BL282,$J282,FALSE),"")="","",IFERROR(HLOOKUP(B$2,$M$2:$BL282,$J282,FALSE),""))</f>
        <v/>
      </c>
      <c r="C282" s="12" t="str">
        <f>IF(IFERROR(HLOOKUP(C$2,$M$2:$BL282,$J282,FALSE),"")="","",IFERROR(HLOOKUP(C$2,$M$2:$BL282,$J282,FALSE),""))</f>
        <v/>
      </c>
      <c r="D282" s="12" t="str">
        <f>IF(IFERROR(HLOOKUP(D$2,$M$2:$BL282,$J282,FALSE),"")="","",IFERROR(HLOOKUP(D$2,$M$2:$BL282,$J282,FALSE),""))</f>
        <v/>
      </c>
      <c r="E282" s="12" t="str">
        <f>IF(IFERROR(HLOOKUP(E$2,$M$2:$BL282,$J282,FALSE),"")="","",IFERROR(HLOOKUP(E$2,$M$2:$BL282,$J282,FALSE),""))</f>
        <v/>
      </c>
      <c r="F282" s="12" t="str">
        <f>IF(IFERROR(HLOOKUP(F$2,$M$2:$BL282,$J282,FALSE),"")="","",IFERROR(HLOOKUP(F$2,$M$2:$BL282,$J282,FALSE),""))</f>
        <v/>
      </c>
      <c r="G282" s="12" t="str">
        <f>IF(IFERROR(HLOOKUP(G$2,$M$2:$BL282,$J282,FALSE),"")="","",IFERROR(HLOOKUP(G$2,$M$2:$BL282,$J282,FALSE),""))</f>
        <v/>
      </c>
    </row>
    <row r="283" spans="1:7">
      <c r="A283" s="12" t="str">
        <f t="shared" si="22"/>
        <v>B</v>
      </c>
      <c r="B283" s="12" t="str">
        <f>IF(IFERROR(HLOOKUP(B$2,$M$2:$BL283,$J283,FALSE),"")="","",IFERROR(HLOOKUP(B$2,$M$2:$BL283,$J283,FALSE),""))</f>
        <v/>
      </c>
      <c r="C283" s="12" t="str">
        <f>IF(IFERROR(HLOOKUP(C$2,$M$2:$BL283,$J283,FALSE),"")="","",IFERROR(HLOOKUP(C$2,$M$2:$BL283,$J283,FALSE),""))</f>
        <v/>
      </c>
      <c r="D283" s="12" t="str">
        <f>IF(IFERROR(HLOOKUP(D$2,$M$2:$BL283,$J283,FALSE),"")="","",IFERROR(HLOOKUP(D$2,$M$2:$BL283,$J283,FALSE),""))</f>
        <v/>
      </c>
      <c r="E283" s="12" t="str">
        <f>IF(IFERROR(HLOOKUP(E$2,$M$2:$BL283,$J283,FALSE),"")="","",IFERROR(HLOOKUP(E$2,$M$2:$BL283,$J283,FALSE),""))</f>
        <v/>
      </c>
      <c r="F283" s="12" t="str">
        <f>IF(IFERROR(HLOOKUP(F$2,$M$2:$BL283,$J283,FALSE),"")="","",IFERROR(HLOOKUP(F$2,$M$2:$BL283,$J283,FALSE),""))</f>
        <v/>
      </c>
      <c r="G283" s="12" t="str">
        <f>IF(IFERROR(HLOOKUP(G$2,$M$2:$BL283,$J283,FALSE),"")="","",IFERROR(HLOOKUP(G$2,$M$2:$BL283,$J283,FALSE),""))</f>
        <v/>
      </c>
    </row>
    <row r="284" spans="1:7">
      <c r="A284" s="12" t="str">
        <f t="shared" si="22"/>
        <v>CCC and below</v>
      </c>
      <c r="B284" s="12" t="str">
        <f>IF(IFERROR(HLOOKUP(B$2,$M$2:$BL284,$J284,FALSE),"")="","",IFERROR(HLOOKUP(B$2,$M$2:$BL284,$J284,FALSE),""))</f>
        <v/>
      </c>
      <c r="C284" s="12" t="str">
        <f>IF(IFERROR(HLOOKUP(C$2,$M$2:$BL284,$J284,FALSE),"")="","",IFERROR(HLOOKUP(C$2,$M$2:$BL284,$J284,FALSE),""))</f>
        <v/>
      </c>
      <c r="D284" s="12" t="str">
        <f>IF(IFERROR(HLOOKUP(D$2,$M$2:$BL284,$J284,FALSE),"")="","",IFERROR(HLOOKUP(D$2,$M$2:$BL284,$J284,FALSE),""))</f>
        <v/>
      </c>
      <c r="E284" s="12" t="str">
        <f>IF(IFERROR(HLOOKUP(E$2,$M$2:$BL284,$J284,FALSE),"")="","",IFERROR(HLOOKUP(E$2,$M$2:$BL284,$J284,FALSE),""))</f>
        <v/>
      </c>
      <c r="F284" s="12" t="str">
        <f>IF(IFERROR(HLOOKUP(F$2,$M$2:$BL284,$J284,FALSE),"")="","",IFERROR(HLOOKUP(F$2,$M$2:$BL284,$J284,FALSE),""))</f>
        <v/>
      </c>
      <c r="G284" s="12" t="str">
        <f>IF(IFERROR(HLOOKUP(G$2,$M$2:$BL284,$J284,FALSE),"")="","",IFERROR(HLOOKUP(G$2,$M$2:$BL284,$J284,FALSE),""))</f>
        <v/>
      </c>
    </row>
    <row r="285" spans="1:7" s="15" customFormat="1">
      <c r="A285" s="18" t="str">
        <f t="shared" si="22"/>
        <v>Factor 5</v>
      </c>
      <c r="B285" s="15" t="str">
        <f>IF(IFERROR(HLOOKUP(B$2,$M$2:$BL285,$J285,FALSE),"")="","",IFERROR(HLOOKUP(B$2,$M$2:$BL285,$J285,FALSE),""))</f>
        <v/>
      </c>
      <c r="C285" s="15" t="str">
        <f>IF(IFERROR(HLOOKUP(C$2,$M$2:$BL285,$J285,FALSE),"")="","",IFERROR(HLOOKUP(C$2,$M$2:$BL285,$J285,FALSE),""))</f>
        <v/>
      </c>
      <c r="D285" s="15" t="str">
        <f>IF(IFERROR(HLOOKUP(D$2,$M$2:$BL285,$J285,FALSE),"")="","",IFERROR(HLOOKUP(D$2,$M$2:$BL285,$J285,FALSE),""))</f>
        <v/>
      </c>
      <c r="E285" s="15" t="str">
        <f>IF(IFERROR(HLOOKUP(E$2,$M$2:$BL285,$J285,FALSE),"")="","",IFERROR(HLOOKUP(E$2,$M$2:$BL285,$J285,FALSE),""))</f>
        <v/>
      </c>
      <c r="F285" s="15" t="str">
        <f>IF(IFERROR(HLOOKUP(F$2,$M$2:$BL285,$J285,FALSE),"")="","",IFERROR(HLOOKUP(F$2,$M$2:$BL285,$J285,FALSE),""))</f>
        <v/>
      </c>
      <c r="G285" s="15" t="str">
        <f>IF(IFERROR(HLOOKUP(G$2,$M$2:$BL285,$J285,FALSE),"")="","",IFERROR(HLOOKUP(G$2,$M$2:$BL285,$J285,FALSE),""))</f>
        <v/>
      </c>
    </row>
    <row r="286" spans="1:7">
      <c r="A286" s="12" t="str">
        <f t="shared" si="22"/>
        <v>AA and above</v>
      </c>
      <c r="B286" s="12" t="str">
        <f>IF(IFERROR(HLOOKUP(B$2,$M$2:$BL286,$J286,FALSE),"")="","",IFERROR(HLOOKUP(B$2,$M$2:$BL286,$J286,FALSE),""))</f>
        <v/>
      </c>
      <c r="C286" s="12" t="str">
        <f>IF(IFERROR(HLOOKUP(C$2,$M$2:$BL286,$J286,FALSE),"")="","",IFERROR(HLOOKUP(C$2,$M$2:$BL286,$J286,FALSE),""))</f>
        <v/>
      </c>
      <c r="D286" s="12" t="str">
        <f>IF(IFERROR(HLOOKUP(D$2,$M$2:$BL286,$J286,FALSE),"")="","",IFERROR(HLOOKUP(D$2,$M$2:$BL286,$J286,FALSE),""))</f>
        <v/>
      </c>
      <c r="E286" s="12" t="str">
        <f>IF(IFERROR(HLOOKUP(E$2,$M$2:$BL286,$J286,FALSE),"")="","",IFERROR(HLOOKUP(E$2,$M$2:$BL286,$J286,FALSE),""))</f>
        <v/>
      </c>
      <c r="F286" s="12" t="str">
        <f>IF(IFERROR(HLOOKUP(F$2,$M$2:$BL286,$J286,FALSE),"")="","",IFERROR(HLOOKUP(F$2,$M$2:$BL286,$J286,FALSE),""))</f>
        <v/>
      </c>
      <c r="G286" s="12" t="str">
        <f>IF(IFERROR(HLOOKUP(G$2,$M$2:$BL286,$J286,FALSE),"")="","",IFERROR(HLOOKUP(G$2,$M$2:$BL286,$J286,FALSE),""))</f>
        <v/>
      </c>
    </row>
    <row r="287" spans="1:7">
      <c r="A287" s="12" t="str">
        <f t="shared" si="22"/>
        <v>A</v>
      </c>
      <c r="B287" s="12" t="str">
        <f>IF(IFERROR(HLOOKUP(B$2,$M$2:$BL287,$J287,FALSE),"")="","",IFERROR(HLOOKUP(B$2,$M$2:$BL287,$J287,FALSE),""))</f>
        <v/>
      </c>
      <c r="C287" s="12" t="str">
        <f>IF(IFERROR(HLOOKUP(C$2,$M$2:$BL287,$J287,FALSE),"")="","",IFERROR(HLOOKUP(C$2,$M$2:$BL287,$J287,FALSE),""))</f>
        <v/>
      </c>
      <c r="D287" s="12" t="str">
        <f>IF(IFERROR(HLOOKUP(D$2,$M$2:$BL287,$J287,FALSE),"")="","",IFERROR(HLOOKUP(D$2,$M$2:$BL287,$J287,FALSE),""))</f>
        <v/>
      </c>
      <c r="E287" s="12" t="str">
        <f>IF(IFERROR(HLOOKUP(E$2,$M$2:$BL287,$J287,FALSE),"")="","",IFERROR(HLOOKUP(E$2,$M$2:$BL287,$J287,FALSE),""))</f>
        <v/>
      </c>
      <c r="F287" s="12" t="str">
        <f>IF(IFERROR(HLOOKUP(F$2,$M$2:$BL287,$J287,FALSE),"")="","",IFERROR(HLOOKUP(F$2,$M$2:$BL287,$J287,FALSE),""))</f>
        <v/>
      </c>
      <c r="G287" s="12" t="str">
        <f>IF(IFERROR(HLOOKUP(G$2,$M$2:$BL287,$J287,FALSE),"")="","",IFERROR(HLOOKUP(G$2,$M$2:$BL287,$J287,FALSE),""))</f>
        <v/>
      </c>
    </row>
    <row r="288" spans="1:7">
      <c r="A288" s="12" t="str">
        <f t="shared" si="22"/>
        <v>BBB</v>
      </c>
      <c r="B288" s="12" t="str">
        <f>IF(IFERROR(HLOOKUP(B$2,$M$2:$BL288,$J288,FALSE),"")="","",IFERROR(HLOOKUP(B$2,$M$2:$BL288,$J288,FALSE),""))</f>
        <v/>
      </c>
      <c r="C288" s="12" t="str">
        <f>IF(IFERROR(HLOOKUP(C$2,$M$2:$BL288,$J288,FALSE),"")="","",IFERROR(HLOOKUP(C$2,$M$2:$BL288,$J288,FALSE),""))</f>
        <v/>
      </c>
      <c r="D288" s="12" t="str">
        <f>IF(IFERROR(HLOOKUP(D$2,$M$2:$BL288,$J288,FALSE),"")="","",IFERROR(HLOOKUP(D$2,$M$2:$BL288,$J288,FALSE),""))</f>
        <v/>
      </c>
      <c r="E288" s="12" t="str">
        <f>IF(IFERROR(HLOOKUP(E$2,$M$2:$BL288,$J288,FALSE),"")="","",IFERROR(HLOOKUP(E$2,$M$2:$BL288,$J288,FALSE),""))</f>
        <v/>
      </c>
      <c r="F288" s="12" t="str">
        <f>IF(IFERROR(HLOOKUP(F$2,$M$2:$BL288,$J288,FALSE),"")="","",IFERROR(HLOOKUP(F$2,$M$2:$BL288,$J288,FALSE),""))</f>
        <v/>
      </c>
      <c r="G288" s="12" t="str">
        <f>IF(IFERROR(HLOOKUP(G$2,$M$2:$BL288,$J288,FALSE),"")="","",IFERROR(HLOOKUP(G$2,$M$2:$BL288,$J288,FALSE),""))</f>
        <v/>
      </c>
    </row>
    <row r="289" spans="1:7">
      <c r="A289" s="12" t="str">
        <f t="shared" si="22"/>
        <v>BB</v>
      </c>
      <c r="B289" s="12" t="str">
        <f>IF(IFERROR(HLOOKUP(B$2,$M$2:$BL289,$J289,FALSE),"")="","",IFERROR(HLOOKUP(B$2,$M$2:$BL289,$J289,FALSE),""))</f>
        <v/>
      </c>
      <c r="C289" s="12" t="str">
        <f>IF(IFERROR(HLOOKUP(C$2,$M$2:$BL289,$J289,FALSE),"")="","",IFERROR(HLOOKUP(C$2,$M$2:$BL289,$J289,FALSE),""))</f>
        <v/>
      </c>
      <c r="D289" s="12" t="str">
        <f>IF(IFERROR(HLOOKUP(D$2,$M$2:$BL289,$J289,FALSE),"")="","",IFERROR(HLOOKUP(D$2,$M$2:$BL289,$J289,FALSE),""))</f>
        <v/>
      </c>
      <c r="E289" s="12" t="str">
        <f>IF(IFERROR(HLOOKUP(E$2,$M$2:$BL289,$J289,FALSE),"")="","",IFERROR(HLOOKUP(E$2,$M$2:$BL289,$J289,FALSE),""))</f>
        <v/>
      </c>
      <c r="F289" s="12" t="str">
        <f>IF(IFERROR(HLOOKUP(F$2,$M$2:$BL289,$J289,FALSE),"")="","",IFERROR(HLOOKUP(F$2,$M$2:$BL289,$J289,FALSE),""))</f>
        <v/>
      </c>
      <c r="G289" s="12" t="str">
        <f>IF(IFERROR(HLOOKUP(G$2,$M$2:$BL289,$J289,FALSE),"")="","",IFERROR(HLOOKUP(G$2,$M$2:$BL289,$J289,FALSE),""))</f>
        <v/>
      </c>
    </row>
    <row r="290" spans="1:7">
      <c r="A290" s="12" t="str">
        <f t="shared" si="22"/>
        <v>B</v>
      </c>
      <c r="B290" s="12" t="str">
        <f>IF(IFERROR(HLOOKUP(B$2,$M$2:$BL290,$J290,FALSE),"")="","",IFERROR(HLOOKUP(B$2,$M$2:$BL290,$J290,FALSE),""))</f>
        <v/>
      </c>
      <c r="C290" s="12" t="str">
        <f>IF(IFERROR(HLOOKUP(C$2,$M$2:$BL290,$J290,FALSE),"")="","",IFERROR(HLOOKUP(C$2,$M$2:$BL290,$J290,FALSE),""))</f>
        <v/>
      </c>
      <c r="D290" s="12" t="str">
        <f>IF(IFERROR(HLOOKUP(D$2,$M$2:$BL290,$J290,FALSE),"")="","",IFERROR(HLOOKUP(D$2,$M$2:$BL290,$J290,FALSE),""))</f>
        <v/>
      </c>
      <c r="E290" s="12" t="str">
        <f>IF(IFERROR(HLOOKUP(E$2,$M$2:$BL290,$J290,FALSE),"")="","",IFERROR(HLOOKUP(E$2,$M$2:$BL290,$J290,FALSE),""))</f>
        <v/>
      </c>
      <c r="F290" s="12" t="str">
        <f>IF(IFERROR(HLOOKUP(F$2,$M$2:$BL290,$J290,FALSE),"")="","",IFERROR(HLOOKUP(F$2,$M$2:$BL290,$J290,FALSE),""))</f>
        <v/>
      </c>
      <c r="G290" s="12" t="str">
        <f>IF(IFERROR(HLOOKUP(G$2,$M$2:$BL290,$J290,FALSE),"")="","",IFERROR(HLOOKUP(G$2,$M$2:$BL290,$J290,FALSE),""))</f>
        <v/>
      </c>
    </row>
    <row r="291" spans="1:7">
      <c r="A291" s="12" t="str">
        <f t="shared" si="22"/>
        <v>CCC and below</v>
      </c>
      <c r="B291" s="12" t="str">
        <f>IF(IFERROR(HLOOKUP(B$2,$M$2:$BL291,$J291,FALSE),"")="","",IFERROR(HLOOKUP(B$2,$M$2:$BL291,$J291,FALSE),""))</f>
        <v/>
      </c>
      <c r="C291" s="12" t="str">
        <f>IF(IFERROR(HLOOKUP(C$2,$M$2:$BL291,$J291,FALSE),"")="","",IFERROR(HLOOKUP(C$2,$M$2:$BL291,$J291,FALSE),""))</f>
        <v/>
      </c>
      <c r="D291" s="12" t="str">
        <f>IF(IFERROR(HLOOKUP(D$2,$M$2:$BL291,$J291,FALSE),"")="","",IFERROR(HLOOKUP(D$2,$M$2:$BL291,$J291,FALSE),""))</f>
        <v/>
      </c>
      <c r="E291" s="12" t="str">
        <f>IF(IFERROR(HLOOKUP(E$2,$M$2:$BL291,$J291,FALSE),"")="","",IFERROR(HLOOKUP(E$2,$M$2:$BL291,$J291,FALSE),""))</f>
        <v/>
      </c>
      <c r="F291" s="12" t="str">
        <f>IF(IFERROR(HLOOKUP(F$2,$M$2:$BL291,$J291,FALSE),"")="","",IFERROR(HLOOKUP(F$2,$M$2:$BL291,$J291,FALSE),""))</f>
        <v/>
      </c>
      <c r="G291" s="12" t="str">
        <f>IF(IFERROR(HLOOKUP(G$2,$M$2:$BL291,$J291,FALSE),"")="","",IFERROR(HLOOKUP(G$2,$M$2:$BL291,$J291,FALSE),""))</f>
        <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G8"/>
  <sheetViews>
    <sheetView workbookViewId="0">
      <selection activeCell="C37" sqref="C37"/>
    </sheetView>
  </sheetViews>
  <sheetFormatPr baseColWidth="10" defaultColWidth="8.83203125" defaultRowHeight="14"/>
  <cols>
    <col min="1" max="1" width="48.83203125" customWidth="1"/>
  </cols>
  <sheetData>
    <row r="4" spans="1:7">
      <c r="A4" s="33" t="s">
        <v>935</v>
      </c>
      <c r="B4" s="34" t="s">
        <v>936</v>
      </c>
    </row>
    <row r="6" spans="1:7">
      <c r="B6" t="s">
        <v>49</v>
      </c>
      <c r="C6" t="s">
        <v>50</v>
      </c>
      <c r="D6" t="s">
        <v>51</v>
      </c>
      <c r="E6" t="s">
        <v>52</v>
      </c>
      <c r="F6" t="s">
        <v>53</v>
      </c>
      <c r="G6" t="s">
        <v>54</v>
      </c>
    </row>
    <row r="7" spans="1:7">
      <c r="B7" t="s">
        <v>70</v>
      </c>
      <c r="C7" t="s">
        <v>934</v>
      </c>
      <c r="D7" t="s">
        <v>69</v>
      </c>
      <c r="E7" t="s">
        <v>66</v>
      </c>
      <c r="F7" t="s">
        <v>65</v>
      </c>
      <c r="G7" t="s">
        <v>71</v>
      </c>
    </row>
    <row r="8" spans="1:7">
      <c r="A8" s="35" t="s">
        <v>937</v>
      </c>
      <c r="B8" t="e">
        <v>#N/A</v>
      </c>
    </row>
  </sheetData>
  <hyperlinks>
    <hyperlink ref="B4" r:id="rId1" xr:uid="{00000000-0004-0000-02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62"/>
  </sheetPr>
  <dimension ref="A1:AA178"/>
  <sheetViews>
    <sheetView showGridLines="0" tabSelected="1" topLeftCell="B1" zoomScale="70" zoomScaleNormal="70" workbookViewId="0">
      <selection activeCell="D9" sqref="D9"/>
    </sheetView>
  </sheetViews>
  <sheetFormatPr baseColWidth="10" defaultColWidth="9.1640625" defaultRowHeight="14" outlineLevelRow="1" outlineLevelCol="1"/>
  <cols>
    <col min="1" max="1" width="3.83203125" style="4" customWidth="1" outlineLevel="1"/>
    <col min="2" max="2" width="39.1640625" style="6" customWidth="1"/>
    <col min="3" max="3" width="26.83203125" style="7" bestFit="1" customWidth="1"/>
    <col min="4" max="4" width="17.33203125" style="1" customWidth="1"/>
    <col min="5" max="9" width="7" style="1" customWidth="1"/>
    <col min="10" max="11" width="7" style="4" customWidth="1"/>
    <col min="12" max="12" width="8.33203125" style="4" customWidth="1"/>
    <col min="13" max="15" width="8.33203125" style="4" customWidth="1" outlineLevel="1"/>
    <col min="16" max="25" width="10.6640625" style="4" customWidth="1" outlineLevel="1"/>
    <col min="26" max="26" width="9.1640625" style="4" customWidth="1"/>
    <col min="27" max="16384" width="9.1640625" style="4"/>
  </cols>
  <sheetData>
    <row r="1" spans="2:11" ht="25" customHeight="1" thickBot="1">
      <c r="B1" s="2"/>
      <c r="C1" s="3"/>
      <c r="D1" s="4"/>
      <c r="E1" s="4"/>
      <c r="F1" s="4"/>
      <c r="G1" s="4"/>
      <c r="H1" s="4"/>
      <c r="I1" s="4"/>
    </row>
    <row r="2" spans="2:11" ht="33.75" customHeight="1">
      <c r="B2" s="38" t="s">
        <v>0</v>
      </c>
      <c r="C2" s="49" t="s">
        <v>942</v>
      </c>
      <c r="D2" s="4"/>
      <c r="E2" s="4"/>
      <c r="F2" s="4"/>
      <c r="G2" s="4"/>
      <c r="H2" s="4"/>
      <c r="I2" s="4"/>
    </row>
    <row r="3" spans="2:11" ht="14.5" customHeight="1" thickBot="1">
      <c r="B3" s="39" t="s">
        <v>1</v>
      </c>
      <c r="C3" s="50" t="s">
        <v>938</v>
      </c>
      <c r="D3" s="4"/>
      <c r="E3" s="4"/>
      <c r="F3" s="4"/>
      <c r="G3" s="4"/>
      <c r="H3" s="4"/>
      <c r="I3" s="4"/>
    </row>
    <row r="4" spans="2:11" ht="15.75" customHeight="1" thickBot="1">
      <c r="B4" s="2"/>
      <c r="C4" s="3"/>
      <c r="D4" s="3"/>
      <c r="E4" s="3"/>
      <c r="F4" s="3"/>
      <c r="G4" s="3"/>
      <c r="H4" s="3"/>
      <c r="I4" s="3"/>
    </row>
    <row r="5" spans="2:11" ht="79.5" customHeight="1" thickBot="1">
      <c r="B5" s="40" t="s">
        <v>2</v>
      </c>
      <c r="C5" s="51" t="s">
        <v>3</v>
      </c>
      <c r="D5" s="52" t="s">
        <v>4</v>
      </c>
      <c r="E5" s="52"/>
      <c r="F5" s="52"/>
      <c r="G5" s="52"/>
      <c r="H5" s="52"/>
      <c r="I5" s="53"/>
    </row>
    <row r="6" spans="2:11" ht="15.75" customHeight="1" thickBot="1">
      <c r="B6" s="2"/>
      <c r="C6" s="3"/>
      <c r="D6" s="4"/>
      <c r="E6" s="4"/>
      <c r="F6" s="4"/>
      <c r="G6" s="4"/>
      <c r="H6" s="4"/>
      <c r="I6" s="4"/>
    </row>
    <row r="7" spans="2:11" ht="27.75" customHeight="1">
      <c r="B7" s="41" t="s">
        <v>5</v>
      </c>
      <c r="C7" s="54" t="s">
        <v>939</v>
      </c>
      <c r="D7" s="55" t="s">
        <v>932</v>
      </c>
      <c r="E7" s="55"/>
      <c r="F7" s="55"/>
      <c r="G7" s="55"/>
      <c r="H7" s="55"/>
      <c r="I7" s="56"/>
    </row>
    <row r="8" spans="2:11" ht="26.25" customHeight="1">
      <c r="B8" s="43" t="s">
        <v>7</v>
      </c>
      <c r="C8" s="64" t="s">
        <v>8</v>
      </c>
      <c r="D8" s="65" t="s">
        <v>139</v>
      </c>
      <c r="E8" s="65"/>
      <c r="F8" s="65"/>
      <c r="G8" s="65"/>
      <c r="H8" s="65"/>
      <c r="I8" s="66"/>
    </row>
    <row r="9" spans="2:11" ht="20.5" customHeight="1" thickBot="1">
      <c r="B9" s="46" t="s">
        <v>9</v>
      </c>
      <c r="C9" s="71" t="s">
        <v>940</v>
      </c>
      <c r="D9" s="72" t="s">
        <v>941</v>
      </c>
      <c r="E9" s="57"/>
      <c r="F9" s="57"/>
      <c r="G9" s="57"/>
      <c r="H9" s="57"/>
      <c r="I9" s="70"/>
      <c r="K9" s="36"/>
    </row>
    <row r="10" spans="2:11" ht="15.5" customHeight="1" thickBot="1">
      <c r="B10" s="47" t="s">
        <v>10</v>
      </c>
      <c r="C10" s="58" t="s">
        <v>11</v>
      </c>
      <c r="D10" s="4"/>
      <c r="E10" s="4"/>
      <c r="F10" s="4"/>
      <c r="G10" s="4"/>
      <c r="H10" s="4"/>
      <c r="I10" s="4"/>
    </row>
    <row r="11" spans="2:11" ht="15.75" customHeight="1" thickBot="1">
      <c r="B11" s="2"/>
      <c r="C11" s="3"/>
      <c r="D11" s="4"/>
      <c r="E11" s="4"/>
      <c r="F11" s="4"/>
      <c r="G11" s="4"/>
      <c r="H11" s="4"/>
      <c r="I11" s="4"/>
    </row>
    <row r="12" spans="2:11" ht="15" customHeight="1">
      <c r="B12" s="45" t="s">
        <v>12</v>
      </c>
      <c r="C12" s="69" t="s">
        <v>13</v>
      </c>
      <c r="D12" s="4"/>
      <c r="E12" s="4"/>
      <c r="F12" s="4"/>
      <c r="G12" s="4"/>
      <c r="H12" s="4"/>
      <c r="I12" s="4"/>
    </row>
    <row r="13" spans="2:11" ht="15" customHeight="1">
      <c r="B13" s="43" t="s">
        <v>14</v>
      </c>
      <c r="C13" s="59" t="s">
        <v>15</v>
      </c>
      <c r="D13" s="4"/>
      <c r="E13" s="4"/>
      <c r="F13" s="4"/>
      <c r="G13" s="4"/>
      <c r="H13" s="4"/>
      <c r="I13" s="4"/>
    </row>
    <row r="14" spans="2:11" ht="15" customHeight="1">
      <c r="B14" s="43" t="s">
        <v>16</v>
      </c>
      <c r="C14" s="60" t="s">
        <v>933</v>
      </c>
      <c r="D14" s="4"/>
      <c r="E14" s="4"/>
      <c r="F14" s="4"/>
      <c r="G14" s="4"/>
      <c r="H14" s="4"/>
      <c r="I14" s="4"/>
    </row>
    <row r="15" spans="2:11" ht="15.75" customHeight="1" thickBot="1">
      <c r="B15" s="44" t="s">
        <v>17</v>
      </c>
      <c r="C15" s="50" t="s">
        <v>18</v>
      </c>
      <c r="D15" s="4"/>
      <c r="E15" s="4"/>
      <c r="F15" s="4"/>
      <c r="G15" s="4"/>
      <c r="H15" s="4"/>
      <c r="I15" s="4"/>
    </row>
    <row r="16" spans="2:11" ht="15" customHeight="1">
      <c r="B16" s="2"/>
      <c r="C16" s="5"/>
      <c r="D16" s="4"/>
      <c r="E16" s="4"/>
      <c r="F16" s="4"/>
      <c r="G16" s="4"/>
      <c r="H16" s="4"/>
      <c r="I16" s="4"/>
    </row>
    <row r="17" spans="2:9" ht="15.75" customHeight="1" thickBot="1">
      <c r="B17" s="2"/>
      <c r="C17" s="3"/>
      <c r="D17" s="4"/>
      <c r="E17" s="4"/>
      <c r="F17" s="4"/>
      <c r="G17" s="4"/>
      <c r="H17" s="4"/>
      <c r="I17" s="4"/>
    </row>
    <row r="18" spans="2:9" ht="15" customHeight="1">
      <c r="B18" s="42" t="s">
        <v>19</v>
      </c>
      <c r="C18" s="61" t="s">
        <v>31</v>
      </c>
      <c r="D18" s="4"/>
      <c r="E18" s="4"/>
      <c r="F18" s="4"/>
      <c r="G18" s="4"/>
      <c r="H18" s="4"/>
      <c r="I18" s="4"/>
    </row>
    <row r="19" spans="2:9" ht="15" customHeight="1">
      <c r="B19" s="43" t="s">
        <v>21</v>
      </c>
      <c r="C19" s="60" t="s">
        <v>8</v>
      </c>
      <c r="D19" s="4"/>
      <c r="E19" s="4"/>
      <c r="F19" s="4"/>
      <c r="G19" s="4"/>
      <c r="H19" s="4"/>
      <c r="I19" s="4"/>
    </row>
    <row r="20" spans="2:9" ht="15" customHeight="1">
      <c r="B20" s="43" t="s">
        <v>22</v>
      </c>
      <c r="C20" s="60" t="s">
        <v>20</v>
      </c>
      <c r="D20" s="4"/>
      <c r="E20" s="4"/>
      <c r="F20" s="4"/>
      <c r="G20" s="4"/>
      <c r="H20" s="4"/>
      <c r="I20" s="4"/>
    </row>
    <row r="21" spans="2:9" ht="15" customHeight="1">
      <c r="B21" s="43" t="s">
        <v>23</v>
      </c>
      <c r="C21" s="60" t="s">
        <v>24</v>
      </c>
      <c r="D21" s="4"/>
      <c r="E21" s="4"/>
      <c r="F21" s="4"/>
      <c r="G21" s="4"/>
      <c r="H21" s="4"/>
      <c r="I21" s="4"/>
    </row>
    <row r="22" spans="2:9" ht="15" customHeight="1">
      <c r="B22" s="43" t="s">
        <v>25</v>
      </c>
      <c r="C22" s="60" t="s">
        <v>20</v>
      </c>
      <c r="D22" s="4"/>
      <c r="E22" s="4"/>
      <c r="F22" s="4"/>
      <c r="G22" s="4"/>
      <c r="H22" s="4"/>
      <c r="I22" s="4"/>
    </row>
    <row r="23" spans="2:9" ht="15" customHeight="1">
      <c r="B23" s="43" t="s">
        <v>26</v>
      </c>
      <c r="C23" s="60" t="s">
        <v>24</v>
      </c>
      <c r="D23" s="4"/>
      <c r="E23" s="4"/>
      <c r="F23" s="4"/>
      <c r="G23" s="4"/>
      <c r="H23" s="4"/>
      <c r="I23" s="4"/>
    </row>
    <row r="24" spans="2:9" ht="15" customHeight="1">
      <c r="B24" s="43" t="s">
        <v>27</v>
      </c>
      <c r="C24" s="60" t="s">
        <v>28</v>
      </c>
      <c r="D24" s="4"/>
      <c r="E24" s="4"/>
      <c r="F24" s="4"/>
      <c r="G24" s="4"/>
      <c r="H24" s="4"/>
      <c r="I24" s="4"/>
    </row>
    <row r="25" spans="2:9" ht="15.75" customHeight="1" thickBot="1">
      <c r="B25" s="44" t="s">
        <v>29</v>
      </c>
      <c r="C25" s="50"/>
      <c r="D25" s="4"/>
      <c r="E25" s="4"/>
      <c r="F25" s="4"/>
      <c r="G25" s="4"/>
      <c r="H25" s="4"/>
      <c r="I25" s="4"/>
    </row>
    <row r="26" spans="2:9" ht="15.75" customHeight="1" thickBot="1">
      <c r="D26" s="4"/>
      <c r="E26" s="4"/>
      <c r="F26" s="4"/>
      <c r="G26" s="4"/>
      <c r="H26" s="4"/>
      <c r="I26" s="4"/>
    </row>
    <row r="27" spans="2:9" ht="15" customHeight="1">
      <c r="B27" s="42" t="s">
        <v>30</v>
      </c>
      <c r="C27" s="61" t="s">
        <v>31</v>
      </c>
      <c r="D27" s="4"/>
      <c r="E27" s="4"/>
      <c r="F27" s="4"/>
      <c r="G27" s="4"/>
      <c r="H27" s="4"/>
      <c r="I27" s="4"/>
    </row>
    <row r="28" spans="2:9" ht="15" customHeight="1">
      <c r="B28" s="43" t="s">
        <v>32</v>
      </c>
      <c r="C28" s="60" t="s">
        <v>33</v>
      </c>
      <c r="D28" s="4"/>
      <c r="E28" s="4"/>
      <c r="F28" s="4"/>
      <c r="G28" s="4"/>
      <c r="H28" s="4"/>
      <c r="I28" s="4"/>
    </row>
    <row r="29" spans="2:9" ht="15" customHeight="1">
      <c r="B29" s="43" t="s">
        <v>34</v>
      </c>
      <c r="C29" s="60" t="s">
        <v>28</v>
      </c>
      <c r="D29" s="4"/>
      <c r="E29" s="4"/>
      <c r="F29" s="4"/>
      <c r="G29" s="4"/>
      <c r="H29" s="4"/>
      <c r="I29" s="4"/>
    </row>
    <row r="30" spans="2:9" ht="15" customHeight="1">
      <c r="B30" s="43" t="s">
        <v>35</v>
      </c>
      <c r="C30" s="60" t="s">
        <v>33</v>
      </c>
      <c r="D30" s="4"/>
      <c r="E30" s="4"/>
      <c r="F30" s="4"/>
      <c r="G30" s="4"/>
      <c r="H30" s="4"/>
      <c r="I30" s="4"/>
    </row>
    <row r="31" spans="2:9" ht="15.75" customHeight="1" thickBot="1">
      <c r="B31" s="44" t="s">
        <v>36</v>
      </c>
      <c r="C31" s="50" t="s">
        <v>37</v>
      </c>
      <c r="D31" s="4"/>
      <c r="E31" s="4"/>
      <c r="F31" s="4"/>
      <c r="G31" s="4"/>
      <c r="H31" s="4"/>
      <c r="I31" s="4"/>
    </row>
    <row r="32" spans="2:9" ht="15" customHeight="1">
      <c r="B32" s="2"/>
      <c r="C32" s="3"/>
      <c r="D32" s="4"/>
      <c r="E32" s="4"/>
      <c r="F32" s="4"/>
      <c r="G32" s="4"/>
      <c r="H32" s="4"/>
      <c r="I32" s="4"/>
    </row>
    <row r="33" spans="2:27" ht="15" customHeight="1">
      <c r="B33" s="2"/>
      <c r="C33" s="3"/>
      <c r="D33" s="4"/>
      <c r="E33" s="4"/>
      <c r="F33" s="4"/>
      <c r="G33" s="4"/>
      <c r="H33" s="4"/>
      <c r="I33" s="4"/>
    </row>
    <row r="34" spans="2:27" ht="21.75" customHeight="1" thickBot="1">
      <c r="B34" s="2"/>
      <c r="C34" s="3"/>
      <c r="D34" s="4"/>
      <c r="E34" s="4"/>
      <c r="F34" s="4"/>
      <c r="G34" s="4"/>
      <c r="H34" s="4"/>
      <c r="I34" s="4"/>
    </row>
    <row r="35" spans="2:27" ht="15.75" customHeight="1" thickBot="1">
      <c r="B35" s="48" t="s">
        <v>38</v>
      </c>
      <c r="C35" s="37">
        <v>2018</v>
      </c>
      <c r="D35" s="37">
        <v>2019</v>
      </c>
      <c r="E35" s="37">
        <v>2020</v>
      </c>
      <c r="F35" s="37">
        <v>2021</v>
      </c>
      <c r="G35" s="37">
        <v>2022</v>
      </c>
      <c r="H35" s="37">
        <v>2023</v>
      </c>
      <c r="I35" s="37">
        <v>2024</v>
      </c>
      <c r="J35" s="37" t="s">
        <v>39</v>
      </c>
      <c r="K35" s="37" t="s">
        <v>40</v>
      </c>
      <c r="L35" s="37" t="s">
        <v>41</v>
      </c>
      <c r="Z35" s="62"/>
    </row>
    <row r="36" spans="2:27" ht="15.75" customHeight="1" thickBot="1">
      <c r="B36" s="11" t="s">
        <v>42</v>
      </c>
      <c r="C36" s="67">
        <v>27.329000000000011</v>
      </c>
      <c r="D36" s="67">
        <v>27.329000000000011</v>
      </c>
      <c r="E36" s="67">
        <v>27.329000000000011</v>
      </c>
      <c r="F36" s="67">
        <v>4.8620000000000001</v>
      </c>
      <c r="G36" s="67">
        <v>4.8620000000000001</v>
      </c>
      <c r="H36" s="67">
        <v>4.8620000000000001</v>
      </c>
      <c r="I36" s="67">
        <v>36.799999999999969</v>
      </c>
      <c r="J36" s="67">
        <v>36.799999999999969</v>
      </c>
      <c r="K36" s="67">
        <v>18.491252599999999</v>
      </c>
      <c r="L36" s="67">
        <v>18.491252599999999</v>
      </c>
      <c r="M36" s="63" t="s">
        <v>43</v>
      </c>
      <c r="AA36" s="9"/>
    </row>
    <row r="37" spans="2:27" ht="15.75" customHeight="1" thickBot="1">
      <c r="B37" s="11" t="s">
        <v>44</v>
      </c>
      <c r="C37" s="67">
        <v>18.491252599999999</v>
      </c>
      <c r="D37" s="67">
        <v>18.491252599999999</v>
      </c>
      <c r="E37" s="67">
        <v>18.491252599999999</v>
      </c>
      <c r="F37" s="67">
        <v>18.491252599999999</v>
      </c>
      <c r="G37" s="67">
        <v>18.491252599999999</v>
      </c>
      <c r="H37" s="67">
        <v>18.491252599999999</v>
      </c>
      <c r="I37" s="67">
        <v>36.799999999999969</v>
      </c>
      <c r="J37" s="67">
        <v>36.799999999999969</v>
      </c>
      <c r="K37" s="67">
        <v>18.491252599999999</v>
      </c>
      <c r="L37" s="67">
        <v>18.491252599999999</v>
      </c>
      <c r="M37" s="63" t="s">
        <v>43</v>
      </c>
      <c r="AA37" s="9"/>
    </row>
    <row r="38" spans="2:27" ht="15.75" customHeight="1" outlineLevel="1" thickBot="1">
      <c r="B38" s="11" t="s">
        <v>45</v>
      </c>
      <c r="C38" s="67">
        <v>27.329000000000011</v>
      </c>
      <c r="D38" s="67">
        <v>27.329000000000011</v>
      </c>
      <c r="E38" s="67">
        <v>27.329000000000011</v>
      </c>
      <c r="F38" s="67">
        <v>36.799999999999969</v>
      </c>
      <c r="G38" s="67">
        <v>36.799999999999969</v>
      </c>
      <c r="H38" s="67">
        <v>27.329000000000011</v>
      </c>
      <c r="I38" s="67">
        <v>27.329000000000011</v>
      </c>
      <c r="J38" s="67">
        <v>27.329000000000011</v>
      </c>
      <c r="K38" s="67">
        <v>27.329000000000011</v>
      </c>
      <c r="L38" s="67">
        <v>4.8620000000000001</v>
      </c>
      <c r="M38" s="63" t="s">
        <v>43</v>
      </c>
      <c r="AA38" s="9"/>
    </row>
    <row r="39" spans="2:27" ht="15.75" customHeight="1" outlineLevel="1" thickBot="1">
      <c r="B39" s="11" t="s">
        <v>46</v>
      </c>
      <c r="C39" s="67">
        <v>27.329000000000011</v>
      </c>
      <c r="D39" s="67">
        <v>27.329000000000011</v>
      </c>
      <c r="E39" s="67">
        <v>27.329000000000011</v>
      </c>
      <c r="F39" s="67">
        <v>36.799999999999969</v>
      </c>
      <c r="G39" s="67">
        <v>36.799999999999969</v>
      </c>
      <c r="H39" s="68" t="s">
        <v>47</v>
      </c>
      <c r="I39" s="67">
        <v>27.329000000000011</v>
      </c>
      <c r="J39" s="67">
        <v>27.329000000000011</v>
      </c>
      <c r="K39" s="67">
        <v>27.329000000000011</v>
      </c>
      <c r="L39" s="67">
        <v>4.8620000000000001</v>
      </c>
      <c r="M39" s="63" t="s">
        <v>43</v>
      </c>
      <c r="AA39" s="9"/>
    </row>
    <row r="40" spans="2:27" ht="15.75" customHeight="1" thickBot="1">
      <c r="B40" s="11" t="s">
        <v>48</v>
      </c>
      <c r="C40" s="67">
        <v>21.53185742374875</v>
      </c>
      <c r="D40" s="67">
        <v>21.53185742374875</v>
      </c>
      <c r="E40" s="67">
        <v>21.53185742374875</v>
      </c>
      <c r="F40" s="67">
        <v>21.53185742374875</v>
      </c>
      <c r="G40" s="67">
        <v>4.8620000000000001</v>
      </c>
      <c r="H40" s="67">
        <v>4.8620000000000001</v>
      </c>
      <c r="I40" s="67">
        <v>4.8620000000000001</v>
      </c>
      <c r="J40" s="67">
        <v>4.8620000000000001</v>
      </c>
      <c r="K40" s="67">
        <v>4.8620000000000001</v>
      </c>
      <c r="L40" s="67">
        <v>4.8620000000000001</v>
      </c>
      <c r="M40" s="63" t="s">
        <v>43</v>
      </c>
      <c r="AA40" s="9"/>
    </row>
    <row r="41" spans="2:27" ht="15.75" customHeight="1" thickBot="1">
      <c r="B41" s="28" t="s">
        <v>36</v>
      </c>
      <c r="C41" s="67">
        <v>4.8620000000000001</v>
      </c>
      <c r="D41" s="67">
        <v>4.8620000000000001</v>
      </c>
      <c r="E41" s="67">
        <v>4.8620000000000001</v>
      </c>
      <c r="F41" s="67">
        <v>21.53185742374875</v>
      </c>
      <c r="G41" s="67">
        <v>21.53185742374875</v>
      </c>
      <c r="H41" s="67">
        <v>21.53185742374875</v>
      </c>
      <c r="I41" s="67">
        <v>21.53185742374875</v>
      </c>
      <c r="J41" s="67">
        <v>21.53185742374875</v>
      </c>
      <c r="K41" s="67">
        <v>21.53185742374875</v>
      </c>
      <c r="L41" s="67">
        <v>21.53185742374875</v>
      </c>
      <c r="M41" s="63" t="s">
        <v>43</v>
      </c>
      <c r="AA41" s="9"/>
    </row>
    <row r="42" spans="2:27" ht="15.75" customHeight="1" thickTop="1">
      <c r="B42" s="2"/>
      <c r="C42" s="3"/>
      <c r="D42" s="4"/>
      <c r="E42" s="4"/>
      <c r="F42" s="4"/>
      <c r="G42" s="4"/>
      <c r="H42" s="4"/>
      <c r="I42" s="4"/>
    </row>
    <row r="43" spans="2:27">
      <c r="B43" s="2"/>
      <c r="C43" s="3"/>
      <c r="D43" s="4"/>
      <c r="E43" s="4"/>
      <c r="F43" s="4"/>
      <c r="G43" s="4"/>
      <c r="H43" s="4"/>
      <c r="I43" s="4"/>
    </row>
    <row r="44" spans="2:27">
      <c r="B44" s="2"/>
      <c r="C44" s="3"/>
      <c r="D44" s="4"/>
      <c r="E44" s="4"/>
      <c r="F44" s="4"/>
      <c r="G44" s="4"/>
      <c r="H44" s="4"/>
      <c r="I44" s="4"/>
    </row>
    <row r="45" spans="2:27">
      <c r="B45" s="2"/>
      <c r="C45" s="3"/>
      <c r="D45" s="4"/>
      <c r="E45" s="4"/>
      <c r="F45" s="4"/>
      <c r="G45" s="4"/>
      <c r="H45" s="4"/>
      <c r="I45" s="4"/>
    </row>
    <row r="46" spans="2:27">
      <c r="B46" s="2"/>
      <c r="C46" s="3"/>
      <c r="D46" s="4"/>
      <c r="E46" s="4"/>
      <c r="F46" s="4"/>
      <c r="G46" s="4"/>
      <c r="H46" s="4"/>
      <c r="I46" s="4"/>
    </row>
    <row r="47" spans="2:27">
      <c r="B47" s="2"/>
      <c r="C47" s="3"/>
      <c r="D47" s="4"/>
      <c r="E47" s="4"/>
      <c r="F47" s="4"/>
      <c r="G47" s="4"/>
      <c r="H47" s="4"/>
      <c r="I47" s="4"/>
    </row>
    <row r="48" spans="2:27">
      <c r="B48" s="2"/>
      <c r="C48" s="3"/>
      <c r="D48" s="4"/>
      <c r="E48" s="4"/>
      <c r="F48" s="4"/>
      <c r="G48" s="4"/>
      <c r="H48" s="4"/>
      <c r="I48" s="4"/>
    </row>
    <row r="49" spans="2:9">
      <c r="B49" s="2"/>
      <c r="C49" s="3"/>
      <c r="D49" s="4"/>
      <c r="E49" s="4"/>
      <c r="F49" s="4"/>
      <c r="G49" s="4"/>
      <c r="H49" s="4"/>
      <c r="I49" s="4"/>
    </row>
    <row r="50" spans="2:9">
      <c r="B50" s="2"/>
      <c r="C50" s="3"/>
      <c r="D50" s="4"/>
      <c r="E50" s="4"/>
      <c r="F50" s="4"/>
      <c r="G50" s="4"/>
      <c r="H50" s="4"/>
      <c r="I50" s="4"/>
    </row>
    <row r="51" spans="2:9">
      <c r="B51" s="2"/>
      <c r="C51" s="3"/>
      <c r="D51" s="4"/>
      <c r="E51" s="4"/>
      <c r="F51" s="4"/>
      <c r="G51" s="4"/>
      <c r="H51" s="4"/>
      <c r="I51" s="4"/>
    </row>
    <row r="52" spans="2:9">
      <c r="B52" s="2"/>
      <c r="C52" s="3"/>
      <c r="D52" s="4"/>
      <c r="E52" s="4"/>
      <c r="F52" s="4"/>
      <c r="G52" s="4"/>
      <c r="H52" s="4"/>
      <c r="I52" s="4"/>
    </row>
    <row r="53" spans="2:9">
      <c r="B53" s="2"/>
      <c r="C53" s="3"/>
      <c r="D53" s="4"/>
      <c r="E53" s="4"/>
      <c r="F53" s="4"/>
      <c r="G53" s="4"/>
      <c r="H53" s="4"/>
      <c r="I53" s="4"/>
    </row>
    <row r="54" spans="2:9">
      <c r="B54" s="2"/>
      <c r="C54" s="3"/>
      <c r="D54" s="4"/>
      <c r="E54" s="4"/>
      <c r="F54" s="4"/>
      <c r="G54" s="4"/>
      <c r="H54" s="4"/>
      <c r="I54" s="4"/>
    </row>
    <row r="55" spans="2:9">
      <c r="B55" s="2"/>
      <c r="C55" s="3"/>
      <c r="D55" s="4"/>
      <c r="E55" s="4"/>
      <c r="F55" s="4"/>
      <c r="G55" s="4"/>
      <c r="H55" s="4"/>
      <c r="I55" s="4"/>
    </row>
    <row r="56" spans="2:9">
      <c r="B56" s="2"/>
      <c r="C56" s="3"/>
      <c r="D56" s="4"/>
      <c r="E56" s="4"/>
      <c r="F56" s="4"/>
      <c r="G56" s="4"/>
      <c r="H56" s="4"/>
      <c r="I56" s="4"/>
    </row>
    <row r="57" spans="2:9">
      <c r="B57" s="2"/>
      <c r="C57" s="3"/>
      <c r="D57" s="4"/>
      <c r="E57" s="4"/>
      <c r="F57" s="4"/>
      <c r="G57" s="4"/>
      <c r="H57" s="4"/>
      <c r="I57" s="4"/>
    </row>
    <row r="58" spans="2:9">
      <c r="B58" s="2"/>
      <c r="C58" s="3"/>
      <c r="D58" s="4"/>
      <c r="E58" s="4"/>
      <c r="F58" s="4"/>
      <c r="G58" s="4"/>
      <c r="H58" s="4"/>
      <c r="I58" s="4"/>
    </row>
    <row r="59" spans="2:9">
      <c r="B59" s="2"/>
      <c r="C59" s="3"/>
      <c r="D59" s="4"/>
      <c r="E59" s="4"/>
      <c r="F59" s="4"/>
      <c r="G59" s="4"/>
      <c r="H59" s="4"/>
      <c r="I59" s="4"/>
    </row>
    <row r="60" spans="2:9">
      <c r="B60" s="2"/>
      <c r="C60" s="3"/>
      <c r="D60" s="4"/>
      <c r="E60" s="4"/>
      <c r="F60" s="4"/>
      <c r="G60" s="4"/>
      <c r="H60" s="4"/>
      <c r="I60" s="4"/>
    </row>
    <row r="61" spans="2:9">
      <c r="B61" s="2"/>
      <c r="C61" s="3"/>
      <c r="D61" s="4"/>
      <c r="E61" s="4"/>
      <c r="F61" s="4"/>
      <c r="G61" s="4"/>
      <c r="H61" s="4"/>
      <c r="I61" s="4"/>
    </row>
    <row r="62" spans="2:9">
      <c r="B62" s="2"/>
      <c r="C62" s="3"/>
      <c r="D62" s="4"/>
      <c r="E62" s="4"/>
      <c r="F62" s="4"/>
      <c r="G62" s="4"/>
      <c r="H62" s="4"/>
      <c r="I62" s="4"/>
    </row>
    <row r="63" spans="2:9">
      <c r="B63" s="2"/>
      <c r="C63" s="3"/>
      <c r="D63" s="4"/>
      <c r="E63" s="4"/>
      <c r="F63" s="4"/>
      <c r="G63" s="4"/>
      <c r="H63" s="4"/>
      <c r="I63" s="4"/>
    </row>
    <row r="64" spans="2:9">
      <c r="B64" s="2"/>
      <c r="C64" s="3"/>
      <c r="D64" s="4"/>
      <c r="E64" s="4"/>
      <c r="F64" s="4"/>
      <c r="G64" s="4"/>
      <c r="H64" s="4"/>
      <c r="I64" s="4"/>
    </row>
    <row r="65" spans="2:9">
      <c r="B65" s="2"/>
      <c r="C65" s="3"/>
      <c r="D65" s="4"/>
      <c r="E65" s="4"/>
      <c r="F65" s="4"/>
      <c r="G65" s="4"/>
      <c r="H65" s="4"/>
      <c r="I65" s="4"/>
    </row>
    <row r="66" spans="2:9">
      <c r="B66" s="2"/>
      <c r="C66" s="3"/>
      <c r="D66" s="4"/>
      <c r="E66" s="4"/>
      <c r="F66" s="4"/>
      <c r="G66" s="4"/>
      <c r="H66" s="4"/>
      <c r="I66" s="4"/>
    </row>
    <row r="67" spans="2:9">
      <c r="B67" s="2"/>
      <c r="C67" s="3"/>
      <c r="D67" s="4"/>
      <c r="E67" s="4"/>
      <c r="F67" s="4"/>
      <c r="G67" s="4"/>
      <c r="H67" s="4"/>
      <c r="I67" s="4"/>
    </row>
    <row r="68" spans="2:9">
      <c r="B68" s="2"/>
      <c r="C68" s="3"/>
      <c r="D68" s="4"/>
      <c r="E68" s="4"/>
      <c r="F68" s="4"/>
      <c r="G68" s="4"/>
      <c r="H68" s="4"/>
      <c r="I68" s="4"/>
    </row>
    <row r="69" spans="2:9">
      <c r="B69" s="2"/>
      <c r="C69" s="3"/>
      <c r="D69" s="4"/>
      <c r="E69" s="4"/>
      <c r="F69" s="4"/>
      <c r="G69" s="4"/>
      <c r="H69" s="4"/>
      <c r="I69" s="4"/>
    </row>
    <row r="70" spans="2:9">
      <c r="B70" s="2"/>
      <c r="C70" s="3"/>
      <c r="D70" s="4"/>
      <c r="E70" s="4"/>
      <c r="F70" s="4"/>
      <c r="G70" s="4"/>
      <c r="H70" s="4"/>
      <c r="I70" s="4"/>
    </row>
    <row r="71" spans="2:9">
      <c r="B71" s="2"/>
      <c r="C71" s="3"/>
      <c r="D71" s="4"/>
      <c r="E71" s="4"/>
      <c r="F71" s="4"/>
      <c r="G71" s="4"/>
      <c r="H71" s="4"/>
      <c r="I71" s="4"/>
    </row>
    <row r="72" spans="2:9">
      <c r="B72" s="2"/>
      <c r="C72" s="3"/>
      <c r="D72" s="4"/>
      <c r="E72" s="4"/>
      <c r="F72" s="4"/>
      <c r="G72" s="4"/>
      <c r="H72" s="4"/>
      <c r="I72" s="4"/>
    </row>
    <row r="73" spans="2:9">
      <c r="B73" s="2"/>
      <c r="C73" s="3"/>
      <c r="D73" s="4"/>
      <c r="E73" s="4"/>
      <c r="F73" s="4"/>
      <c r="G73" s="4"/>
      <c r="H73" s="4"/>
      <c r="I73" s="4"/>
    </row>
    <row r="74" spans="2:9">
      <c r="B74" s="2"/>
      <c r="C74" s="3"/>
      <c r="D74" s="4"/>
      <c r="E74" s="4"/>
      <c r="F74" s="4"/>
      <c r="G74" s="4"/>
      <c r="H74" s="4"/>
      <c r="I74" s="4"/>
    </row>
    <row r="75" spans="2:9">
      <c r="B75" s="2"/>
      <c r="C75" s="3"/>
      <c r="D75" s="4"/>
      <c r="E75" s="4"/>
      <c r="F75" s="4"/>
      <c r="G75" s="4"/>
      <c r="H75" s="4"/>
      <c r="I75" s="4"/>
    </row>
    <row r="76" spans="2:9">
      <c r="B76" s="2"/>
      <c r="C76" s="3"/>
      <c r="D76" s="4"/>
      <c r="E76" s="4"/>
      <c r="F76" s="4"/>
      <c r="G76" s="4"/>
      <c r="H76" s="4"/>
      <c r="I76" s="4"/>
    </row>
    <row r="77" spans="2:9">
      <c r="B77" s="2"/>
      <c r="C77" s="3"/>
      <c r="D77" s="4"/>
      <c r="E77" s="4"/>
      <c r="F77" s="4"/>
      <c r="G77" s="4"/>
      <c r="H77" s="4"/>
      <c r="I77" s="4"/>
    </row>
    <row r="78" spans="2:9">
      <c r="B78" s="2"/>
      <c r="C78" s="3"/>
      <c r="D78" s="4"/>
      <c r="E78" s="4"/>
      <c r="F78" s="4"/>
      <c r="G78" s="4"/>
      <c r="H78" s="4"/>
      <c r="I78" s="4"/>
    </row>
    <row r="79" spans="2:9">
      <c r="B79" s="2"/>
      <c r="C79" s="3"/>
      <c r="D79" s="4"/>
      <c r="E79" s="4"/>
      <c r="F79" s="4"/>
      <c r="G79" s="4"/>
      <c r="H79" s="4"/>
      <c r="I79" s="4"/>
    </row>
    <row r="80" spans="2:9">
      <c r="B80" s="2"/>
      <c r="C80" s="3"/>
      <c r="D80" s="4"/>
      <c r="E80" s="4"/>
      <c r="F80" s="4"/>
      <c r="G80" s="4"/>
      <c r="H80" s="4"/>
      <c r="I80" s="4"/>
    </row>
    <row r="81" spans="2:9">
      <c r="B81" s="2"/>
      <c r="C81" s="3"/>
      <c r="D81" s="4"/>
      <c r="E81" s="4"/>
      <c r="F81" s="4"/>
      <c r="G81" s="4"/>
      <c r="H81" s="4"/>
      <c r="I81" s="4"/>
    </row>
    <row r="82" spans="2:9">
      <c r="B82" s="2"/>
      <c r="C82" s="3"/>
      <c r="D82" s="4"/>
      <c r="E82" s="4"/>
      <c r="F82" s="4"/>
      <c r="G82" s="4"/>
      <c r="H82" s="4"/>
      <c r="I82" s="4"/>
    </row>
    <row r="83" spans="2:9">
      <c r="B83" s="2"/>
      <c r="C83" s="3"/>
      <c r="D83" s="4"/>
      <c r="E83" s="4"/>
      <c r="F83" s="4"/>
      <c r="G83" s="4"/>
      <c r="H83" s="4"/>
      <c r="I83" s="4"/>
    </row>
    <row r="84" spans="2:9">
      <c r="B84" s="2"/>
      <c r="C84" s="3"/>
      <c r="D84" s="4"/>
      <c r="E84" s="4"/>
      <c r="F84" s="4"/>
      <c r="G84" s="4"/>
      <c r="H84" s="4"/>
      <c r="I84" s="4"/>
    </row>
    <row r="85" spans="2:9">
      <c r="B85" s="2"/>
      <c r="C85" s="3"/>
      <c r="D85" s="4"/>
      <c r="E85" s="4"/>
      <c r="F85" s="4"/>
      <c r="G85" s="4"/>
      <c r="H85" s="4"/>
      <c r="I85" s="4"/>
    </row>
    <row r="86" spans="2:9">
      <c r="B86" s="2"/>
      <c r="C86" s="3"/>
      <c r="D86" s="4"/>
      <c r="E86" s="4"/>
      <c r="F86" s="4"/>
      <c r="G86" s="4"/>
      <c r="H86" s="4"/>
      <c r="I86" s="4"/>
    </row>
    <row r="87" spans="2:9">
      <c r="B87" s="2"/>
      <c r="C87" s="3"/>
      <c r="D87" s="4"/>
      <c r="E87" s="4"/>
      <c r="F87" s="4"/>
      <c r="G87" s="4"/>
      <c r="H87" s="4"/>
      <c r="I87" s="4"/>
    </row>
    <row r="88" spans="2:9">
      <c r="B88" s="2"/>
      <c r="C88" s="3"/>
      <c r="D88" s="4"/>
      <c r="E88" s="4"/>
      <c r="F88" s="4"/>
      <c r="G88" s="4"/>
      <c r="H88" s="4"/>
      <c r="I88" s="4"/>
    </row>
    <row r="89" spans="2:9">
      <c r="B89" s="2"/>
      <c r="C89" s="3"/>
      <c r="D89" s="4"/>
      <c r="E89" s="4"/>
      <c r="F89" s="4"/>
      <c r="G89" s="4"/>
      <c r="H89" s="4"/>
      <c r="I89" s="4"/>
    </row>
    <row r="90" spans="2:9">
      <c r="B90" s="2"/>
      <c r="C90" s="3"/>
      <c r="D90" s="4"/>
      <c r="E90" s="4"/>
      <c r="F90" s="4"/>
      <c r="G90" s="4"/>
      <c r="H90" s="4"/>
      <c r="I90" s="4"/>
    </row>
    <row r="91" spans="2:9">
      <c r="B91" s="2"/>
      <c r="C91" s="3"/>
      <c r="D91" s="4"/>
      <c r="E91" s="4"/>
      <c r="F91" s="4"/>
      <c r="G91" s="4"/>
      <c r="H91" s="4"/>
      <c r="I91" s="4"/>
    </row>
    <row r="92" spans="2:9">
      <c r="B92" s="2"/>
      <c r="C92" s="3"/>
      <c r="D92" s="4"/>
      <c r="E92" s="4"/>
      <c r="F92" s="4"/>
      <c r="G92" s="4"/>
      <c r="H92" s="4"/>
      <c r="I92" s="4"/>
    </row>
    <row r="93" spans="2:9">
      <c r="B93" s="2"/>
      <c r="C93" s="3"/>
      <c r="D93" s="4"/>
      <c r="E93" s="4"/>
      <c r="F93" s="4"/>
      <c r="G93" s="4"/>
      <c r="H93" s="4"/>
      <c r="I93" s="4"/>
    </row>
    <row r="94" spans="2:9">
      <c r="B94" s="2"/>
      <c r="C94" s="3"/>
      <c r="D94" s="4"/>
      <c r="E94" s="4"/>
      <c r="F94" s="4"/>
      <c r="G94" s="4"/>
      <c r="H94" s="4"/>
      <c r="I94" s="4"/>
    </row>
    <row r="95" spans="2:9">
      <c r="B95" s="2"/>
      <c r="C95" s="3"/>
      <c r="D95" s="4"/>
      <c r="E95" s="4"/>
      <c r="F95" s="4"/>
      <c r="G95" s="4"/>
      <c r="H95" s="4"/>
      <c r="I95" s="4"/>
    </row>
    <row r="96" spans="2:9">
      <c r="B96" s="2"/>
      <c r="C96" s="3"/>
      <c r="D96" s="4"/>
      <c r="E96" s="4"/>
      <c r="F96" s="4"/>
      <c r="G96" s="4"/>
      <c r="H96" s="4"/>
      <c r="I96" s="4"/>
    </row>
    <row r="97" spans="2:9">
      <c r="B97" s="2"/>
      <c r="C97" s="3"/>
      <c r="D97" s="4"/>
      <c r="E97" s="4"/>
      <c r="F97" s="4"/>
      <c r="G97" s="4"/>
      <c r="H97" s="4"/>
      <c r="I97" s="4"/>
    </row>
    <row r="98" spans="2:9">
      <c r="B98" s="2"/>
      <c r="C98" s="3"/>
      <c r="D98" s="4"/>
      <c r="E98" s="4"/>
      <c r="F98" s="4"/>
      <c r="G98" s="4"/>
      <c r="H98" s="4"/>
      <c r="I98" s="4"/>
    </row>
    <row r="99" spans="2:9">
      <c r="B99" s="2"/>
      <c r="C99" s="3"/>
      <c r="D99" s="4"/>
      <c r="E99" s="4"/>
      <c r="F99" s="4"/>
      <c r="G99" s="4"/>
      <c r="H99" s="4"/>
      <c r="I99" s="4"/>
    </row>
    <row r="100" spans="2:9">
      <c r="B100" s="2"/>
      <c r="C100" s="3"/>
      <c r="D100" s="4"/>
      <c r="E100" s="4"/>
      <c r="F100" s="4"/>
      <c r="G100" s="4"/>
      <c r="H100" s="4"/>
      <c r="I100" s="4"/>
    </row>
    <row r="101" spans="2:9">
      <c r="B101" s="2"/>
      <c r="C101" s="3"/>
      <c r="D101" s="4"/>
      <c r="E101" s="4"/>
      <c r="F101" s="4"/>
      <c r="G101" s="4"/>
      <c r="H101" s="4"/>
      <c r="I101" s="4"/>
    </row>
    <row r="102" spans="2:9">
      <c r="B102" s="2"/>
      <c r="C102" s="3"/>
      <c r="D102" s="4"/>
      <c r="E102" s="4"/>
      <c r="F102" s="4"/>
      <c r="G102" s="4"/>
      <c r="H102" s="4"/>
      <c r="I102" s="4"/>
    </row>
    <row r="103" spans="2:9">
      <c r="B103" s="2"/>
      <c r="C103" s="3"/>
      <c r="D103" s="4"/>
      <c r="E103" s="4"/>
      <c r="F103" s="4"/>
      <c r="G103" s="4"/>
      <c r="H103" s="4"/>
      <c r="I103" s="4"/>
    </row>
    <row r="104" spans="2:9">
      <c r="B104" s="2"/>
      <c r="C104" s="3"/>
      <c r="D104" s="4"/>
      <c r="E104" s="4"/>
      <c r="F104" s="4"/>
      <c r="G104" s="4"/>
      <c r="H104" s="4"/>
      <c r="I104" s="4"/>
    </row>
    <row r="105" spans="2:9">
      <c r="B105" s="2"/>
      <c r="C105" s="3"/>
      <c r="D105" s="4"/>
      <c r="E105" s="4"/>
      <c r="F105" s="4"/>
      <c r="G105" s="4"/>
      <c r="H105" s="4"/>
      <c r="I105" s="4"/>
    </row>
    <row r="106" spans="2:9">
      <c r="B106" s="2"/>
      <c r="C106" s="3"/>
      <c r="D106" s="4"/>
      <c r="E106" s="4"/>
      <c r="F106" s="4"/>
      <c r="G106" s="4"/>
      <c r="H106" s="4"/>
      <c r="I106" s="4"/>
    </row>
    <row r="107" spans="2:9">
      <c r="B107" s="2"/>
      <c r="C107" s="3"/>
      <c r="D107" s="4"/>
      <c r="E107" s="4"/>
      <c r="F107" s="4"/>
      <c r="G107" s="4"/>
      <c r="H107" s="4"/>
      <c r="I107" s="4"/>
    </row>
    <row r="108" spans="2:9">
      <c r="B108" s="2"/>
      <c r="C108" s="3"/>
      <c r="D108" s="4"/>
      <c r="E108" s="4"/>
      <c r="F108" s="4"/>
      <c r="G108" s="4"/>
      <c r="H108" s="4"/>
      <c r="I108" s="4"/>
    </row>
    <row r="109" spans="2:9">
      <c r="B109" s="2"/>
      <c r="C109" s="3"/>
      <c r="D109" s="4"/>
      <c r="E109" s="4"/>
      <c r="F109" s="4"/>
      <c r="G109" s="4"/>
      <c r="H109" s="4"/>
      <c r="I109" s="4"/>
    </row>
    <row r="110" spans="2:9">
      <c r="B110" s="2"/>
      <c r="C110" s="3"/>
      <c r="D110" s="4"/>
      <c r="E110" s="4"/>
      <c r="F110" s="4"/>
      <c r="G110" s="4"/>
      <c r="H110" s="4"/>
      <c r="I110" s="4"/>
    </row>
    <row r="111" spans="2:9">
      <c r="B111" s="2"/>
      <c r="C111" s="3"/>
      <c r="D111" s="4"/>
      <c r="E111" s="4"/>
      <c r="F111" s="4"/>
      <c r="G111" s="4"/>
      <c r="H111" s="4"/>
      <c r="I111" s="4"/>
    </row>
    <row r="112" spans="2:9">
      <c r="B112" s="2"/>
      <c r="C112" s="3"/>
      <c r="D112" s="4"/>
      <c r="E112" s="4"/>
      <c r="F112" s="4"/>
      <c r="G112" s="4"/>
      <c r="H112" s="4"/>
      <c r="I112" s="4"/>
    </row>
    <row r="113" spans="2:9">
      <c r="B113" s="2"/>
      <c r="C113" s="3"/>
      <c r="D113" s="4"/>
      <c r="E113" s="4"/>
      <c r="F113" s="4"/>
      <c r="G113" s="4"/>
      <c r="H113" s="4"/>
      <c r="I113" s="4"/>
    </row>
    <row r="114" spans="2:9">
      <c r="B114" s="2"/>
      <c r="C114" s="3"/>
      <c r="D114" s="4"/>
      <c r="E114" s="4"/>
      <c r="F114" s="4"/>
      <c r="G114" s="4"/>
      <c r="H114" s="4"/>
      <c r="I114" s="4"/>
    </row>
    <row r="115" spans="2:9">
      <c r="B115" s="2"/>
      <c r="C115" s="3"/>
      <c r="D115" s="4"/>
      <c r="E115" s="4"/>
      <c r="F115" s="4"/>
      <c r="G115" s="4"/>
      <c r="H115" s="4"/>
      <c r="I115" s="4"/>
    </row>
    <row r="116" spans="2:9">
      <c r="B116" s="2"/>
      <c r="C116" s="3"/>
      <c r="D116" s="4"/>
      <c r="E116" s="4"/>
      <c r="F116" s="4"/>
      <c r="G116" s="4"/>
      <c r="H116" s="4"/>
      <c r="I116" s="4"/>
    </row>
    <row r="117" spans="2:9">
      <c r="B117" s="2"/>
      <c r="C117" s="3"/>
      <c r="D117" s="4"/>
      <c r="E117" s="4"/>
      <c r="F117" s="4"/>
      <c r="G117" s="4"/>
      <c r="H117" s="4"/>
      <c r="I117" s="4"/>
    </row>
    <row r="118" spans="2:9">
      <c r="B118" s="2"/>
      <c r="C118" s="3"/>
      <c r="D118" s="4"/>
      <c r="E118" s="4"/>
      <c r="F118" s="4"/>
      <c r="G118" s="4"/>
      <c r="H118" s="4"/>
      <c r="I118" s="4"/>
    </row>
    <row r="119" spans="2:9">
      <c r="B119" s="2"/>
      <c r="C119" s="3"/>
      <c r="D119" s="4"/>
      <c r="E119" s="4"/>
      <c r="F119" s="4"/>
      <c r="G119" s="4"/>
      <c r="H119" s="4"/>
      <c r="I119" s="4"/>
    </row>
    <row r="120" spans="2:9">
      <c r="B120" s="2"/>
      <c r="C120" s="3"/>
      <c r="D120" s="4"/>
      <c r="E120" s="4"/>
      <c r="F120" s="4"/>
      <c r="G120" s="4"/>
      <c r="H120" s="4"/>
      <c r="I120" s="4"/>
    </row>
    <row r="121" spans="2:9">
      <c r="B121" s="2"/>
      <c r="C121" s="3"/>
      <c r="D121" s="4"/>
      <c r="E121" s="4"/>
      <c r="F121" s="4"/>
      <c r="G121" s="4"/>
      <c r="H121" s="4"/>
      <c r="I121" s="4"/>
    </row>
    <row r="122" spans="2:9">
      <c r="B122" s="2"/>
      <c r="C122" s="3"/>
      <c r="D122" s="4"/>
      <c r="E122" s="4"/>
      <c r="F122" s="4"/>
      <c r="G122" s="4"/>
      <c r="H122" s="4"/>
      <c r="I122" s="4"/>
    </row>
    <row r="123" spans="2:9">
      <c r="B123" s="2"/>
      <c r="C123" s="3"/>
      <c r="D123" s="4"/>
      <c r="E123" s="4"/>
      <c r="F123" s="4"/>
      <c r="G123" s="4"/>
      <c r="H123" s="4"/>
      <c r="I123" s="4"/>
    </row>
    <row r="124" spans="2:9">
      <c r="B124" s="2"/>
      <c r="C124" s="3"/>
      <c r="D124" s="4"/>
      <c r="E124" s="4"/>
      <c r="F124" s="4"/>
      <c r="G124" s="4"/>
      <c r="H124" s="4"/>
      <c r="I124" s="4"/>
    </row>
    <row r="125" spans="2:9">
      <c r="B125" s="2"/>
      <c r="C125" s="3"/>
      <c r="D125" s="4"/>
      <c r="E125" s="4"/>
      <c r="F125" s="4"/>
      <c r="G125" s="4"/>
      <c r="H125" s="4"/>
      <c r="I125" s="4"/>
    </row>
    <row r="126" spans="2:9">
      <c r="B126" s="2"/>
      <c r="C126" s="3"/>
      <c r="D126" s="4"/>
      <c r="E126" s="4"/>
      <c r="F126" s="4"/>
      <c r="G126" s="4"/>
      <c r="H126" s="4"/>
      <c r="I126" s="4"/>
    </row>
    <row r="127" spans="2:9">
      <c r="B127" s="2"/>
      <c r="C127" s="3"/>
      <c r="D127" s="4"/>
      <c r="E127" s="4"/>
      <c r="F127" s="4"/>
      <c r="G127" s="4"/>
      <c r="H127" s="4"/>
      <c r="I127" s="4"/>
    </row>
    <row r="128" spans="2:9">
      <c r="B128" s="2"/>
      <c r="C128" s="3"/>
      <c r="D128" s="4"/>
      <c r="E128" s="4"/>
      <c r="F128" s="4"/>
      <c r="G128" s="4"/>
      <c r="H128" s="4"/>
      <c r="I128" s="4"/>
    </row>
    <row r="129" spans="2:9">
      <c r="B129" s="2"/>
      <c r="C129" s="3"/>
      <c r="D129" s="4"/>
      <c r="E129" s="4"/>
      <c r="F129" s="4"/>
      <c r="G129" s="4"/>
      <c r="H129" s="4"/>
      <c r="I129" s="4"/>
    </row>
    <row r="130" spans="2:9">
      <c r="B130" s="2"/>
      <c r="C130" s="3"/>
      <c r="D130" s="4"/>
      <c r="E130" s="4"/>
      <c r="F130" s="4"/>
      <c r="G130" s="4"/>
      <c r="H130" s="4"/>
      <c r="I130" s="4"/>
    </row>
    <row r="131" spans="2:9">
      <c r="B131" s="2"/>
      <c r="C131" s="3"/>
      <c r="D131" s="4"/>
      <c r="E131" s="4"/>
      <c r="F131" s="4"/>
      <c r="G131" s="4"/>
      <c r="H131" s="4"/>
      <c r="I131" s="4"/>
    </row>
    <row r="132" spans="2:9">
      <c r="B132" s="2"/>
      <c r="C132" s="3"/>
      <c r="D132" s="4"/>
      <c r="E132" s="4"/>
      <c r="F132" s="4"/>
      <c r="G132" s="4"/>
      <c r="H132" s="4"/>
      <c r="I132" s="4"/>
    </row>
    <row r="133" spans="2:9">
      <c r="B133" s="2"/>
      <c r="C133" s="3"/>
      <c r="D133" s="4"/>
      <c r="E133" s="4"/>
      <c r="F133" s="4"/>
      <c r="G133" s="4"/>
      <c r="H133" s="4"/>
      <c r="I133" s="4"/>
    </row>
    <row r="134" spans="2:9">
      <c r="B134" s="2"/>
      <c r="C134" s="3"/>
      <c r="D134" s="4"/>
      <c r="E134" s="4"/>
      <c r="F134" s="4"/>
      <c r="G134" s="4"/>
      <c r="H134" s="4"/>
      <c r="I134" s="4"/>
    </row>
    <row r="135" spans="2:9">
      <c r="B135" s="2"/>
      <c r="C135" s="3"/>
      <c r="D135" s="4"/>
      <c r="E135" s="4"/>
      <c r="F135" s="4"/>
      <c r="G135" s="4"/>
      <c r="H135" s="4"/>
      <c r="I135" s="4"/>
    </row>
    <row r="136" spans="2:9">
      <c r="B136" s="2"/>
      <c r="C136" s="3"/>
      <c r="D136" s="4"/>
      <c r="E136" s="4"/>
      <c r="F136" s="4"/>
      <c r="G136" s="4"/>
      <c r="H136" s="4"/>
      <c r="I136" s="4"/>
    </row>
    <row r="137" spans="2:9">
      <c r="B137" s="2"/>
      <c r="C137" s="3"/>
      <c r="D137" s="4"/>
      <c r="E137" s="4"/>
      <c r="F137" s="4"/>
      <c r="G137" s="4"/>
      <c r="H137" s="4"/>
      <c r="I137" s="4"/>
    </row>
    <row r="138" spans="2:9">
      <c r="B138" s="2"/>
      <c r="C138" s="3"/>
      <c r="D138" s="4"/>
      <c r="E138" s="4"/>
      <c r="F138" s="4"/>
      <c r="G138" s="4"/>
      <c r="H138" s="4"/>
      <c r="I138" s="4"/>
    </row>
    <row r="139" spans="2:9">
      <c r="B139" s="2"/>
      <c r="C139" s="3"/>
      <c r="D139" s="4"/>
      <c r="E139" s="4"/>
      <c r="F139" s="4"/>
      <c r="G139" s="4"/>
      <c r="H139" s="4"/>
      <c r="I139" s="4"/>
    </row>
    <row r="140" spans="2:9">
      <c r="B140" s="2"/>
      <c r="C140" s="3"/>
      <c r="D140" s="4"/>
      <c r="E140" s="4"/>
      <c r="F140" s="4"/>
      <c r="G140" s="4"/>
      <c r="H140" s="4"/>
      <c r="I140" s="4"/>
    </row>
    <row r="141" spans="2:9">
      <c r="B141" s="2"/>
      <c r="C141" s="3"/>
      <c r="D141" s="4"/>
      <c r="E141" s="4"/>
      <c r="F141" s="4"/>
      <c r="G141" s="4"/>
      <c r="H141" s="4"/>
      <c r="I141" s="4"/>
    </row>
    <row r="142" spans="2:9">
      <c r="B142" s="2"/>
      <c r="C142" s="3"/>
      <c r="D142" s="4"/>
      <c r="E142" s="4"/>
      <c r="F142" s="4"/>
      <c r="G142" s="4"/>
      <c r="H142" s="4"/>
      <c r="I142" s="4"/>
    </row>
    <row r="143" spans="2:9">
      <c r="B143" s="2"/>
      <c r="C143" s="3"/>
      <c r="D143" s="4"/>
      <c r="E143" s="4"/>
      <c r="F143" s="4"/>
      <c r="G143" s="4"/>
      <c r="H143" s="4"/>
      <c r="I143" s="4"/>
    </row>
    <row r="144" spans="2:9">
      <c r="B144" s="2"/>
      <c r="C144" s="3"/>
      <c r="D144" s="4"/>
      <c r="E144" s="4"/>
      <c r="F144" s="4"/>
      <c r="G144" s="4"/>
      <c r="H144" s="4"/>
      <c r="I144" s="4"/>
    </row>
    <row r="145" spans="2:9">
      <c r="B145" s="2"/>
      <c r="C145" s="3"/>
      <c r="D145" s="4"/>
      <c r="E145" s="4"/>
      <c r="F145" s="4"/>
      <c r="G145" s="4"/>
      <c r="H145" s="4"/>
      <c r="I145" s="4"/>
    </row>
    <row r="146" spans="2:9">
      <c r="B146" s="2"/>
      <c r="C146" s="3"/>
      <c r="D146" s="4"/>
      <c r="E146" s="4"/>
      <c r="F146" s="4"/>
      <c r="G146" s="4"/>
      <c r="H146" s="4"/>
      <c r="I146" s="4"/>
    </row>
    <row r="147" spans="2:9">
      <c r="B147" s="2"/>
      <c r="C147" s="3"/>
      <c r="D147" s="4"/>
      <c r="E147" s="4"/>
      <c r="F147" s="4"/>
      <c r="G147" s="4"/>
      <c r="H147" s="4"/>
      <c r="I147" s="4"/>
    </row>
    <row r="148" spans="2:9">
      <c r="B148" s="2"/>
      <c r="C148" s="3"/>
      <c r="D148" s="4"/>
      <c r="E148" s="4"/>
      <c r="F148" s="4"/>
      <c r="G148" s="4"/>
      <c r="H148" s="4"/>
      <c r="I148" s="4"/>
    </row>
    <row r="149" spans="2:9">
      <c r="B149" s="2"/>
      <c r="C149" s="3"/>
      <c r="D149" s="4"/>
      <c r="E149" s="4"/>
      <c r="F149" s="4"/>
      <c r="G149" s="4"/>
      <c r="H149" s="4"/>
      <c r="I149" s="4"/>
    </row>
    <row r="150" spans="2:9">
      <c r="B150" s="2"/>
      <c r="C150" s="3"/>
      <c r="D150" s="4"/>
      <c r="E150" s="4"/>
      <c r="F150" s="4"/>
      <c r="G150" s="4"/>
      <c r="H150" s="4"/>
      <c r="I150" s="4"/>
    </row>
    <row r="151" spans="2:9">
      <c r="B151" s="2"/>
      <c r="C151" s="3"/>
      <c r="D151" s="4"/>
      <c r="E151" s="4"/>
      <c r="F151" s="4"/>
      <c r="G151" s="4"/>
      <c r="H151" s="4"/>
      <c r="I151" s="4"/>
    </row>
    <row r="152" spans="2:9">
      <c r="B152" s="2"/>
      <c r="C152" s="3"/>
      <c r="D152" s="4"/>
      <c r="E152" s="4"/>
      <c r="F152" s="4"/>
      <c r="G152" s="4"/>
      <c r="H152" s="4"/>
      <c r="I152" s="4"/>
    </row>
    <row r="153" spans="2:9">
      <c r="B153" s="2"/>
      <c r="C153" s="3"/>
      <c r="D153" s="4"/>
      <c r="E153" s="4"/>
      <c r="F153" s="4"/>
      <c r="G153" s="4"/>
      <c r="H153" s="4"/>
      <c r="I153" s="4"/>
    </row>
    <row r="154" spans="2:9">
      <c r="B154" s="2"/>
      <c r="C154" s="3"/>
      <c r="D154" s="4"/>
      <c r="E154" s="4"/>
      <c r="F154" s="4"/>
      <c r="G154" s="4"/>
      <c r="H154" s="4"/>
      <c r="I154" s="4"/>
    </row>
    <row r="155" spans="2:9">
      <c r="B155" s="2"/>
      <c r="C155" s="3"/>
      <c r="D155" s="4"/>
      <c r="E155" s="4"/>
      <c r="F155" s="4"/>
      <c r="G155" s="4"/>
      <c r="H155" s="4"/>
      <c r="I155" s="4"/>
    </row>
    <row r="156" spans="2:9">
      <c r="B156" s="2"/>
      <c r="C156" s="3"/>
      <c r="D156" s="4"/>
      <c r="E156" s="4"/>
      <c r="F156" s="4"/>
      <c r="G156" s="4"/>
      <c r="H156" s="4"/>
      <c r="I156" s="4"/>
    </row>
    <row r="157" spans="2:9">
      <c r="B157" s="2"/>
      <c r="C157" s="3"/>
      <c r="D157" s="4"/>
      <c r="E157" s="4"/>
      <c r="F157" s="4"/>
      <c r="G157" s="4"/>
      <c r="H157" s="4"/>
      <c r="I157" s="4"/>
    </row>
    <row r="158" spans="2:9">
      <c r="B158" s="2"/>
      <c r="C158" s="3"/>
      <c r="D158" s="4"/>
      <c r="E158" s="4"/>
      <c r="F158" s="4"/>
      <c r="G158" s="4"/>
      <c r="H158" s="4"/>
      <c r="I158" s="4"/>
    </row>
    <row r="159" spans="2:9">
      <c r="B159" s="2"/>
      <c r="C159" s="3"/>
      <c r="D159" s="4"/>
      <c r="E159" s="4"/>
      <c r="F159" s="4"/>
      <c r="G159" s="4"/>
      <c r="H159" s="4"/>
      <c r="I159" s="4"/>
    </row>
    <row r="160" spans="2:9">
      <c r="B160" s="2"/>
      <c r="C160" s="3"/>
      <c r="D160" s="4"/>
      <c r="E160" s="4"/>
      <c r="F160" s="4"/>
      <c r="G160" s="4"/>
      <c r="H160" s="4"/>
      <c r="I160" s="4"/>
    </row>
    <row r="161" spans="2:9">
      <c r="B161" s="2"/>
      <c r="C161" s="3"/>
      <c r="D161" s="4"/>
      <c r="E161" s="4"/>
      <c r="F161" s="4"/>
      <c r="G161" s="4"/>
      <c r="H161" s="4"/>
      <c r="I161" s="4"/>
    </row>
    <row r="162" spans="2:9">
      <c r="B162" s="2"/>
      <c r="C162" s="3"/>
      <c r="D162" s="4"/>
      <c r="E162" s="4"/>
      <c r="F162" s="4"/>
      <c r="G162" s="4"/>
      <c r="H162" s="4"/>
      <c r="I162" s="4"/>
    </row>
    <row r="163" spans="2:9">
      <c r="B163" s="2"/>
      <c r="C163" s="3"/>
      <c r="D163" s="4"/>
      <c r="E163" s="4"/>
      <c r="F163" s="4"/>
      <c r="G163" s="4"/>
      <c r="H163" s="4"/>
      <c r="I163" s="4"/>
    </row>
    <row r="164" spans="2:9">
      <c r="B164" s="2"/>
      <c r="C164" s="3"/>
      <c r="D164" s="4"/>
      <c r="E164" s="4"/>
      <c r="F164" s="4"/>
      <c r="G164" s="4"/>
      <c r="H164" s="4"/>
      <c r="I164" s="4"/>
    </row>
    <row r="165" spans="2:9">
      <c r="B165" s="2"/>
      <c r="C165" s="3"/>
      <c r="D165" s="4"/>
      <c r="E165" s="4"/>
      <c r="F165" s="4"/>
      <c r="G165" s="4"/>
      <c r="H165" s="4"/>
      <c r="I165" s="4"/>
    </row>
    <row r="166" spans="2:9">
      <c r="B166" s="2"/>
      <c r="C166" s="3"/>
      <c r="D166" s="4"/>
      <c r="E166" s="4"/>
      <c r="F166" s="4"/>
      <c r="G166" s="4"/>
      <c r="H166" s="4"/>
      <c r="I166" s="4"/>
    </row>
    <row r="167" spans="2:9">
      <c r="B167" s="2"/>
      <c r="C167" s="3"/>
      <c r="D167" s="4"/>
      <c r="E167" s="4"/>
      <c r="F167" s="4"/>
      <c r="G167" s="4"/>
      <c r="H167" s="4"/>
      <c r="I167" s="4"/>
    </row>
    <row r="168" spans="2:9">
      <c r="B168" s="2"/>
      <c r="C168" s="3"/>
      <c r="D168" s="4"/>
      <c r="E168" s="4"/>
      <c r="F168" s="4"/>
      <c r="G168" s="4"/>
      <c r="H168" s="4"/>
      <c r="I168" s="4"/>
    </row>
    <row r="169" spans="2:9">
      <c r="B169" s="2"/>
      <c r="C169" s="3"/>
      <c r="D169" s="4"/>
      <c r="E169" s="4"/>
      <c r="F169" s="4"/>
      <c r="G169" s="4"/>
      <c r="H169" s="4"/>
      <c r="I169" s="4"/>
    </row>
    <row r="170" spans="2:9">
      <c r="B170" s="2"/>
      <c r="C170" s="3"/>
      <c r="D170" s="4"/>
      <c r="E170" s="4"/>
      <c r="F170" s="4"/>
      <c r="G170" s="4"/>
      <c r="H170" s="4"/>
      <c r="I170" s="4"/>
    </row>
    <row r="171" spans="2:9">
      <c r="B171" s="2"/>
      <c r="C171" s="3"/>
      <c r="D171" s="4"/>
      <c r="E171" s="4"/>
      <c r="F171" s="4"/>
      <c r="G171" s="4"/>
      <c r="H171" s="4"/>
      <c r="I171" s="4"/>
    </row>
    <row r="172" spans="2:9">
      <c r="B172" s="2"/>
      <c r="C172" s="3"/>
      <c r="D172" s="4"/>
      <c r="E172" s="4"/>
      <c r="F172" s="4"/>
      <c r="G172" s="4"/>
      <c r="H172" s="4"/>
      <c r="I172" s="4"/>
    </row>
    <row r="173" spans="2:9">
      <c r="B173" s="2"/>
      <c r="C173" s="3"/>
      <c r="D173" s="4"/>
      <c r="E173" s="4"/>
      <c r="F173" s="4"/>
      <c r="G173" s="4"/>
      <c r="H173" s="4"/>
      <c r="I173" s="4"/>
    </row>
    <row r="174" spans="2:9">
      <c r="B174" s="2"/>
      <c r="C174" s="3"/>
      <c r="D174" s="4"/>
      <c r="E174" s="4"/>
      <c r="F174" s="4"/>
      <c r="G174" s="4"/>
      <c r="H174" s="4"/>
      <c r="I174" s="4"/>
    </row>
    <row r="175" spans="2:9">
      <c r="B175" s="2"/>
      <c r="C175" s="3"/>
      <c r="D175" s="4"/>
      <c r="E175" s="4"/>
      <c r="F175" s="4"/>
      <c r="G175" s="4"/>
      <c r="H175" s="4"/>
      <c r="I175" s="4"/>
    </row>
    <row r="176" spans="2:9">
      <c r="B176" s="2"/>
      <c r="C176" s="3"/>
      <c r="D176" s="4"/>
      <c r="E176" s="4"/>
      <c r="F176" s="4"/>
      <c r="G176" s="4"/>
      <c r="H176" s="4"/>
      <c r="I176" s="4"/>
    </row>
    <row r="177" spans="2:9">
      <c r="B177" s="2"/>
      <c r="C177" s="3"/>
      <c r="D177" s="4"/>
      <c r="E177" s="4"/>
      <c r="F177" s="4"/>
      <c r="G177" s="4"/>
      <c r="H177" s="4"/>
      <c r="I177" s="4"/>
    </row>
    <row r="178" spans="2:9">
      <c r="D178" s="4"/>
      <c r="E178" s="4"/>
      <c r="F178" s="4"/>
      <c r="G178" s="4"/>
      <c r="H178" s="4"/>
      <c r="I178" s="4"/>
    </row>
  </sheetData>
  <dataValidations count="12">
    <dataValidation type="list" allowBlank="1" showInputMessage="1" showErrorMessage="1" sqref="C18:C25 C27:C30" xr:uid="{00000000-0002-0000-0300-000000000000}">
      <formula1>RatingScaleList</formula1>
    </dataValidation>
    <dataValidation type="list" allowBlank="1" showInputMessage="1" showErrorMessage="1" sqref="C14" xr:uid="{00000000-0002-0000-0300-000001000000}">
      <formula1>AccountingPrinciplesList</formula1>
    </dataValidation>
    <dataValidation type="list" allowBlank="1" showInputMessage="1" showErrorMessage="1" sqref="C13" xr:uid="{00000000-0002-0000-0300-000002000000}">
      <formula1>CountryList</formula1>
    </dataValidation>
    <dataValidation type="list" allowBlank="1" showInputMessage="1" showErrorMessage="1" sqref="C12" xr:uid="{00000000-0002-0000-0300-000003000000}">
      <formula1>CurrencyList</formula1>
    </dataValidation>
    <dataValidation type="list" allowBlank="1" showInputMessage="1" showErrorMessage="1" sqref="C15" xr:uid="{00000000-0002-0000-0300-000004000000}">
      <formula1>MonthList</formula1>
    </dataValidation>
    <dataValidation type="list" allowBlank="1" showInputMessage="1" showErrorMessage="1" sqref="C31" xr:uid="{00000000-0002-0000-0300-000005000000}">
      <formula1>NotchingList</formula1>
    </dataValidation>
    <dataValidation type="list" allowBlank="1" showInputMessage="1" showErrorMessage="1" sqref="C7:I7" xr:uid="{00000000-0002-0000-0300-000006000000}">
      <formula1>SectorList</formula1>
    </dataValidation>
    <dataValidation type="list" allowBlank="1" showInputMessage="1" showErrorMessage="1" sqref="C5:I5" xr:uid="{00000000-0002-0000-0300-000007000000}">
      <formula1>MethodologyList</formula1>
    </dataValidation>
    <dataValidation type="list" allowBlank="1" showInputMessage="1" showErrorMessage="1" sqref="C3" xr:uid="{00000000-0002-0000-0300-000008000000}">
      <formula1>CorporateSectorList</formula1>
    </dataValidation>
    <dataValidation type="list" allowBlank="1" showInputMessage="1" showErrorMessage="1" sqref="C10" xr:uid="{00000000-0002-0000-0300-000009000000}">
      <formula1>SegmentationCriteriaList</formula1>
    </dataValidation>
    <dataValidation type="list" allowBlank="1" showInputMessage="1" showErrorMessage="1" sqref="C9:I9" xr:uid="{00000000-0002-0000-0300-00000A000000}">
      <formula1>IndustryWeightList</formula1>
    </dataValidation>
    <dataValidation type="list" allowBlank="1" showInputMessage="1" showErrorMessage="1" sqref="C8:I8" xr:uid="{00000000-0002-0000-0300-00000B000000}">
      <formula1>SectorRiskScoreList</formula1>
    </dataValidation>
  </dataValidations>
  <pageMargins left="0.7" right="0.7" top="0.75" bottom="0.75" header="0.3" footer="0.3"/>
  <pageSetup paperSize="9" orientation="portrait"/>
  <headerFooter>
    <oddHeader>&amp;R&amp;"Calibri"&amp;1 &amp;K0000FF Internal Document#_x000D_</oddHeader>
  </headerFooter>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BusinessRiskProfiles</vt:lpstr>
      <vt:lpstr>Settings</vt:lpstr>
      <vt:lpstr>MASTER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Romeo</dc:creator>
  <cp:lastModifiedBy>Kamal kumar Madhavan</cp:lastModifiedBy>
  <dcterms:created xsi:type="dcterms:W3CDTF">2015-06-05T18:19:34Z</dcterms:created>
  <dcterms:modified xsi:type="dcterms:W3CDTF">2026-07-12T19:07:24Z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356bcf-722f-489a-9d3a-771e1c16b065_Enabled">
    <vt:lpwstr>true</vt:lpwstr>
  </property>
  <property fmtid="{D5CDD505-2E9C-101B-9397-08002B2CF9AE}" pid="3" name="MSIP_Label_51356bcf-722f-489a-9d3a-771e1c16b065_SetDate">
    <vt:lpwstr>2023-01-05T13:46:07Z</vt:lpwstr>
  </property>
  <property fmtid="{D5CDD505-2E9C-101B-9397-08002B2CF9AE}" pid="4" name="MSIP_Label_51356bcf-722f-489a-9d3a-771e1c16b065_Method">
    <vt:lpwstr>Standard</vt:lpwstr>
  </property>
  <property fmtid="{D5CDD505-2E9C-101B-9397-08002B2CF9AE}" pid="5" name="MSIP_Label_51356bcf-722f-489a-9d3a-771e1c16b065_Name">
    <vt:lpwstr>Internal_SG_Test01</vt:lpwstr>
  </property>
  <property fmtid="{D5CDD505-2E9C-101B-9397-08002B2CF9AE}" pid="6" name="MSIP_Label_51356bcf-722f-489a-9d3a-771e1c16b065_SiteId">
    <vt:lpwstr>211c49c3-c442-4976-9bd4-c0fecdd6dfa9</vt:lpwstr>
  </property>
  <property fmtid="{D5CDD505-2E9C-101B-9397-08002B2CF9AE}" pid="7" name="MSIP_Label_51356bcf-722f-489a-9d3a-771e1c16b065_ActionId">
    <vt:lpwstr>cf235657-133b-41e6-bc12-9ba9b137e5df</vt:lpwstr>
  </property>
  <property fmtid="{D5CDD505-2E9C-101B-9397-08002B2CF9AE}" pid="8" name="MSIP_Label_51356bcf-722f-489a-9d3a-771e1c16b065_ContentBits">
    <vt:lpwstr>1</vt:lpwstr>
  </property>
  <property fmtid="{D5CDD505-2E9C-101B-9397-08002B2CF9AE}" pid="9" name="ContentTypeId">
    <vt:lpwstr>0x0101005008992E46A42145A9464EC75E311959</vt:lpwstr>
  </property>
  <property fmtid="{D5CDD505-2E9C-101B-9397-08002B2CF9AE}" pid="10" name="_dlc_DocIdItemGuid">
    <vt:lpwstr>59dacd10-cb67-45c0-acb2-8034c8e26137</vt:lpwstr>
  </property>
  <property fmtid="{D5CDD505-2E9C-101B-9397-08002B2CF9AE}" pid="11" name="MediaServiceImageTags">
    <vt:lpwstr/>
  </property>
  <property fmtid="{D5CDD505-2E9C-101B-9397-08002B2CF9AE}" pid="12" name="{A44787D4-0540-4523-9961-78E4036D8C6D}">
    <vt:lpwstr>{80CDB2CE-F264-432F-8D6F-F4BC5BE13B24}</vt:lpwstr>
  </property>
</Properties>
</file>